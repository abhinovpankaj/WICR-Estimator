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reelancer\WICR\WICR Estimator\"/>
    </mc:Choice>
  </mc:AlternateContent>
  <xr:revisionPtr revIDLastSave="0" documentId="13_ncr:1_{D7A83423-C946-4DE6-9282-F0CB62337AAD}" xr6:coauthVersionLast="47" xr6:coauthVersionMax="47" xr10:uidLastSave="{00000000-0000-0000-0000-000000000000}"/>
  <bookViews>
    <workbookView xWindow="-98" yWindow="-98" windowWidth="20715" windowHeight="13276" activeTab="6" xr2:uid="{F1883206-431E-465B-9B21-90B372D24D03}"/>
  </bookViews>
  <sheets>
    <sheet name="Instructions" sheetId="8" r:id="rId1"/>
    <sheet name="slopes" sheetId="2" r:id="rId2"/>
    <sheet name="metals" sheetId="4" r:id="rId3"/>
    <sheet name="materials" sheetId="3" r:id="rId4"/>
    <sheet name="labors" sheetId="5" r:id="rId5"/>
    <sheet name="projects" sheetId="6" state="hidden" r:id="rId6"/>
    <sheet name="freights" sheetId="7" r:id="rId7"/>
  </sheets>
  <definedNames>
    <definedName name="ExternalData_1" localSheetId="6" hidden="1">freights!$A$1:$C$9</definedName>
    <definedName name="ExternalData_1" localSheetId="4" hidden="1">labors!$A$1:$D$617</definedName>
    <definedName name="ExternalData_1" localSheetId="3" hidden="1">materials!$A$1:$J$510</definedName>
    <definedName name="ExternalData_1" localSheetId="5" hidden="1">projects!$A$1:$E$30</definedName>
    <definedName name="ExternalData_1" localSheetId="1" hidden="1">slopes!$A$1:$F$273</definedName>
    <definedName name="ExternalData_2" localSheetId="2" hidden="1">metals!$A$1:$H$247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3" l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0784D0-C3D1-4364-A79B-A486D35B5373}" keepAlive="1" name="Query - freights" description="Connection to the 'freights' query in the workbook." type="5" refreshedVersion="7" background="1" saveData="1">
    <dbPr connection="Provider=Microsoft.Mashup.OleDb.1;Data Source=$Workbook$;Location=freights;Extended Properties=&quot;&quot;" command="SELECT * FROM [freights]"/>
  </connection>
  <connection id="2" xr16:uid="{F5EB227B-0AF8-495B-9F2B-6F055F47DC04}" keepAlive="1" name="Query - getslopes" description="Connection to the 'getslopes' query in the workbook." type="5" refreshedVersion="7" background="1" saveData="1">
    <dbPr connection="Provider=Microsoft.Mashup.OleDb.1;Data Source=$Workbook$;Location=getslopes;Extended Properties=&quot;&quot;" command="SELECT * FROM [getslopes]"/>
  </connection>
  <connection id="3" xr16:uid="{306D99C9-774B-46E9-B821-FE6A2DDF9BD7}" keepAlive="1" name="Query - labors" description="Connection to the 'labors' query in the workbook." type="5" refreshedVersion="7" background="1" saveData="1">
    <dbPr connection="Provider=Microsoft.Mashup.OleDb.1;Data Source=$Workbook$;Location=labors;Extended Properties=&quot;&quot;" command="SELECT * FROM [labors]"/>
  </connection>
  <connection id="4" xr16:uid="{9A8D564B-60EC-4BB8-B1D1-DA1CA45F3A82}" keepAlive="1" name="Query - materials" description="Connection to the 'materials' query in the workbook." type="5" refreshedVersion="7" background="1" saveData="1">
    <dbPr connection="Provider=Microsoft.Mashup.OleDb.1;Data Source=$Workbook$;Location=materials;Extended Properties=&quot;&quot;" command="SELECT * FROM [materials]"/>
  </connection>
  <connection id="5" xr16:uid="{0CA3481E-102D-49FD-8870-26C3A3E164C3}" keepAlive="1" name="Query - metals" description="Connection to the 'metals' query in the workbook." type="5" refreshedVersion="7" background="1" saveData="1">
    <dbPr connection="Provider=Microsoft.Mashup.OleDb.1;Data Source=$Workbook$;Location=metals;Extended Properties=&quot;&quot;" command="SELECT * FROM [metals]"/>
  </connection>
  <connection id="6" xr16:uid="{3E8B62AB-327C-4BDA-8524-A0E82B16B0AD}" keepAlive="1" name="Query - projects" description="Connection to the 'projects' query in the workbook." type="5" refreshedVersion="7" background="1" saveData="1">
    <dbPr connection="Provider=Microsoft.Mashup.OleDb.1;Data Source=$Workbook$;Location=projects;Extended Properties=&quot;&quot;" command="SELECT * FROM [projects]"/>
  </connection>
</connections>
</file>

<file path=xl/sharedStrings.xml><?xml version="1.0" encoding="utf-8"?>
<sst xmlns="http://schemas.openxmlformats.org/spreadsheetml/2006/main" count="2593" uniqueCount="521">
  <si>
    <t>Column1.slopeId</t>
  </si>
  <si>
    <t>Column1.slopeName</t>
  </si>
  <si>
    <t>Column1.laborRate</t>
  </si>
  <si>
    <t>Column1.perMixCost</t>
  </si>
  <si>
    <t>Column1.slopeType</t>
  </si>
  <si>
    <t>Column1.projectId</t>
  </si>
  <si>
    <t>Default</t>
  </si>
  <si>
    <t>Cement</t>
  </si>
  <si>
    <t>1/4 inch Average</t>
  </si>
  <si>
    <t>1/2 inch Average</t>
  </si>
  <si>
    <t>3/4 inch Average</t>
  </si>
  <si>
    <t>1 inch Average</t>
  </si>
  <si>
    <t>1 1/4 inch Average</t>
  </si>
  <si>
    <t>Manul Override Avg Labor/mix</t>
  </si>
  <si>
    <t>Minimum Slope Labor</t>
  </si>
  <si>
    <t xml:space="preserve">Default </t>
  </si>
  <si>
    <t>Urethane</t>
  </si>
  <si>
    <t>Access</t>
  </si>
  <si>
    <t>Special</t>
  </si>
  <si>
    <t>1/4 inch Expansion Joints</t>
  </si>
  <si>
    <t>Cement Board and screws for stair applications</t>
  </si>
  <si>
    <t>1 1/4 inch Mortar Bed with 2x2 or diamond metal lathe</t>
  </si>
  <si>
    <t>MATERIAL MIX PRICE FOR 3/4 INCH FILL SAND AND CEMENT</t>
  </si>
  <si>
    <t>MATERIAL MIX PRICE FOR 1&amp;1/4 INCH FILL UNDERLAY M</t>
  </si>
  <si>
    <t>MATERIAL MIX PRICE FOR 3/4 INCH FILL UNDERLAY M</t>
  </si>
  <si>
    <t>Column1.materialId</t>
  </si>
  <si>
    <t>Column1.materialName</t>
  </si>
  <si>
    <t>Column1.coverage</t>
  </si>
  <si>
    <t>Column1.materialPrice</t>
  </si>
  <si>
    <t>Column1.weight</t>
  </si>
  <si>
    <t>Column1.prodRateHorizontal</t>
  </si>
  <si>
    <t>Column1.prodRateVertical</t>
  </si>
  <si>
    <t>Column1.prodRateStair</t>
  </si>
  <si>
    <t>Column1.laborMinCharge</t>
  </si>
  <si>
    <t>RESISTITE REGULAR OVER TEXTURE(#55 BAG)</t>
  </si>
  <si>
    <t>30# DIVORCING FELT (200 SQ FT) FROM FORD WHOLESALE</t>
  </si>
  <si>
    <t>RP FABRIC 10 INCH WIDE X (300 LF) FROM ACME</t>
  </si>
  <si>
    <t>GLASMAT #4 (1200 SQ FT) FROM ACME</t>
  </si>
  <si>
    <t>CPC MEMBRANE</t>
  </si>
  <si>
    <t>NEOTEX-38 PASTE</t>
  </si>
  <si>
    <t>NEOTEX STANDARD POWDER(BODY COAT)</t>
  </si>
  <si>
    <t>NEOTEX STANDARD POWDER(BODY COAT) 1</t>
  </si>
  <si>
    <t>RESISTITE LIQUID</t>
  </si>
  <si>
    <t>RESISTITE REGULAR GRAY</t>
  </si>
  <si>
    <t>RESISTITE REGULAR WHITE</t>
  </si>
  <si>
    <t>RESISTITE REGULAR OR SMOOTH GRAY(KNOCK DOWN OR SMOOTH)</t>
  </si>
  <si>
    <t>RESISTITE REGULAR OR SMOOTH WHITE(KNOCK DOWN OR SMOOTH)</t>
  </si>
  <si>
    <t>AJ-44A Dressing(Sealer)</t>
  </si>
  <si>
    <t>Vista Paint Acripoxy</t>
  </si>
  <si>
    <t>Lip Color</t>
  </si>
  <si>
    <t>RESISTITE UNIVERSAL PRIMER(ADD 50% WATER)</t>
  </si>
  <si>
    <t>CUSTOM TEXTURE SKIP TROWEL(RESISTITE SMOOTH GRAY)</t>
  </si>
  <si>
    <t>CUSTOM TEXTURE SKIP TROWEL(RESISTITE SMOOTH WHITE)</t>
  </si>
  <si>
    <t>Weather Seal XL two Coats</t>
  </si>
  <si>
    <t>Stair Nosing From Dexotex</t>
  </si>
  <si>
    <t>Extra stair nosing lf</t>
  </si>
  <si>
    <t>Plywood 3/4 &amp; blocking(# of 4x8 sheets)</t>
  </si>
  <si>
    <t>Stucco Material Remove and replace (LF)</t>
  </si>
  <si>
    <t>Light Crack Repair</t>
  </si>
  <si>
    <t>Large Crack Repair</t>
  </si>
  <si>
    <t>Bubble Repair(Measure Sq Ft)</t>
  </si>
  <si>
    <t>Sand or pressure wash to prepare area</t>
  </si>
  <si>
    <t>Barrier Guard membrane over smooth surface</t>
  </si>
  <si>
    <t>Underlay over membrane (Resistite regular 150 sq ft per mix )</t>
  </si>
  <si>
    <t>R&amp;R Sealant 1/2 to 3/4 inch control joints (Sonneborn NP-2)</t>
  </si>
  <si>
    <t>Underlay over rough surface (Resistite regular 150 sq ft per mix)</t>
  </si>
  <si>
    <t>RESISTITE UNIVERSAL PRIMER (ADD 50% WATER)</t>
  </si>
  <si>
    <t>Resistite textured knockdown finish (smooth or regular per customer)Gray</t>
  </si>
  <si>
    <t>Resistite textured knockdown finish (smooth or regular per customer)White</t>
  </si>
  <si>
    <t>CUSTOM TEXTURE SKIP TROWEL (RESISTITE SMOOTH GRAY)</t>
  </si>
  <si>
    <t>CUSTOM TEXTURE SKIP TROWEL (RESISTITE SMOOTH White)</t>
  </si>
  <si>
    <t>Aj-44A Dressing(Sealer)</t>
  </si>
  <si>
    <t>Weather Seal XL coat</t>
  </si>
  <si>
    <t>Glass mat #4 1200 SF ROLL FROM ACME</t>
  </si>
  <si>
    <t xml:space="preserve">Resistite Liquid </t>
  </si>
  <si>
    <t>RP FABRIC 10 INCH WIDE X (300 LF)</t>
  </si>
  <si>
    <t>Plywood 3/4 &amp; blocking (# of 4x8 sheets)</t>
  </si>
  <si>
    <t>2.5 Galvanized Lathe (18 s.f.) no less than 12 per sq ft.</t>
  </si>
  <si>
    <t>Staples (3/4 Inch Crown, Box of 13,500)</t>
  </si>
  <si>
    <t>ENDURO ELA-98 BINDER (2 COATS)</t>
  </si>
  <si>
    <t>3/4 oz. Fiberglass (2000 sq ft rolls Purchased from Hill Brothers )</t>
  </si>
  <si>
    <t>Base Coat EKC Cementitious Mix</t>
  </si>
  <si>
    <t>Second Coat Skim Coat EKC Cementitious Mix</t>
  </si>
  <si>
    <t>Texture Coat EKC Cementitious Mix</t>
  </si>
  <si>
    <t>EKL Acrylic Emulsion</t>
  </si>
  <si>
    <t>EKS Acrylic Top Coat</t>
  </si>
  <si>
    <t>Caulk, dymonic 100</t>
  </si>
  <si>
    <t>Preparation after construction and 50/50 primer</t>
  </si>
  <si>
    <t>Select Y for protection coat over membrane below tile (GU80-1 TOP COAT)</t>
  </si>
  <si>
    <t>Stair Nosing</t>
  </si>
  <si>
    <t>SLURRY COAT (RESISTITE) OVER TEXTURE</t>
  </si>
  <si>
    <t>LIGHT CRACK REPAIR</t>
  </si>
  <si>
    <t>LARGE CRACK REPAIR</t>
  </si>
  <si>
    <t>BUBBLE REPAIR (MEASURE SQ FT)</t>
  </si>
  <si>
    <t>RESISTITE REGULAR OR SMOOTH GRAY (KNOCK DOWN OR SMOOTH)</t>
  </si>
  <si>
    <t>VISTA PAINT ACRAPOXY SEALER</t>
  </si>
  <si>
    <t>DEXOTEX AJ-44</t>
  </si>
  <si>
    <t>WESTCOAT SC-10</t>
  </si>
  <si>
    <t>UPI PERMASHIELD</t>
  </si>
  <si>
    <t>PLI DEK GS88 WITH COLOR JAR 1 PER PAIL</t>
  </si>
  <si>
    <t>OPTIONAL FOR WEATHER SEAL XL</t>
  </si>
  <si>
    <t>System Large cracks Repair</t>
  </si>
  <si>
    <t>System bubbled and failed texture repair</t>
  </si>
  <si>
    <t>Add for hand wash, hard, stains, other prep.  CLR or xylene</t>
  </si>
  <si>
    <t>Add for hand masking of smaller patios, (other than large pool decks) tape and masking</t>
  </si>
  <si>
    <t>SC-70 clear acrylic lacquer 200-300 sq ft per gallon</t>
  </si>
  <si>
    <t>SC-10 solid color sealer IN LIEU of SC-70</t>
  </si>
  <si>
    <t>Add for Safe Grip Additive</t>
  </si>
  <si>
    <t>Concrete cracks greater than 1/32 inch (route 1/4 x 1/4) epoxy gel fill, ilica sand, and fiber tape</t>
  </si>
  <si>
    <t>2.5 Galvanized Lathe (18 s.f.)</t>
  </si>
  <si>
    <t>Staples</t>
  </si>
  <si>
    <t>Bonder 480</t>
  </si>
  <si>
    <t>3/4 oz.Fiberglass Matt</t>
  </si>
  <si>
    <t>BASE COAT 50 lb Desert Crete Level Max 20/30</t>
  </si>
  <si>
    <t>BASE COAT Desert Crete poly base mixed with water</t>
  </si>
  <si>
    <t>SKIM COAT Desert Crete poly Base Underlayment mixed with water</t>
  </si>
  <si>
    <t>TEXTURE Desert Crete poly base texture mixed Polymer #550 (1-1/4GAL per BAG)</t>
  </si>
  <si>
    <t>Desert Crete Liquid Polymer #550 mixed 50/50 with water</t>
  </si>
  <si>
    <t>Concrete Masonry Floor paint</t>
  </si>
  <si>
    <t>Liquid Polymer primer 50/50 with water</t>
  </si>
  <si>
    <t>SLOPING FOR TREADS IF NOT PROVIDED FOR IN FRAMING (MOST CASES NEED SLOPE)</t>
  </si>
  <si>
    <t>REPAIR AREAS (ENTER SQ FT OF FILL @ 1/4 INCH)</t>
  </si>
  <si>
    <t>7012 EPOXY PRIMER AND PREPARATION FOR RE-SEAL</t>
  </si>
  <si>
    <t>INTERLAMINATE PRIMER (XYLENE) FROM LOWRYS</t>
  </si>
  <si>
    <t>7013 SC BASE COAT/ 5 GAL PAILS 40 MILS</t>
  </si>
  <si>
    <t>7016 - AR - INTERMEDIATE COAT / 5 GAL PAILS 20 MILS</t>
  </si>
  <si>
    <t>7016 - AL - SC TOP COAT / 5 GAL PAILS 16 MILS</t>
  </si>
  <si>
    <t>1/20 SAND/ #100 LB</t>
  </si>
  <si>
    <t>3 IN. WHITE GLASS TAPE (PERIMETER)</t>
  </si>
  <si>
    <t>SIKA 1-A CAULKING (PERIMETER)</t>
  </si>
  <si>
    <t>DETAIL TAPE (NEW PLYWOOD)</t>
  </si>
  <si>
    <t>SIKA 1-A CAULKING (NEW PLYWOOD)</t>
  </si>
  <si>
    <t>UI 7118 CONCRETE PRIMER 1-1/2 GAL KIT</t>
  </si>
  <si>
    <t>9801 ACCELERATOR</t>
  </si>
  <si>
    <t>INTEGRAL STAIR NOSING (EXCEL STYLE)</t>
  </si>
  <si>
    <t>EXTRA STAIR NOSING</t>
  </si>
  <si>
    <t>REPAIR AREAS (ENTER SQ FT OF FILL @ 1/4 INCH) UPI 7013 SC BASE COAT</t>
  </si>
  <si>
    <t>Striping for small cracKs (less than 1/8")</t>
  </si>
  <si>
    <t>Route and caulk moving cracks (greater than 1/8")</t>
  </si>
  <si>
    <t>7013 SC BASE COAT/ 5 GAL PAILS 30 MILS</t>
  </si>
  <si>
    <t>7016 - AR - SC INTERMEDIATE/ 5 GAL PAILS 20 MILS</t>
  </si>
  <si>
    <t>SECOND INTERMEDIATE COAT FOR HIGH TRAFFIC</t>
  </si>
  <si>
    <t>7016 SC TOP COAT/ 5 GAL PAILS 16 MILS</t>
  </si>
  <si>
    <t>2/16 MESH SAND/ #100 LB</t>
  </si>
  <si>
    <t>UI 7118 CONCRETE PRIMER 2 gal kit</t>
  </si>
  <si>
    <t>Pressure Aggressively to wash to clean existing concrete</t>
  </si>
  <si>
    <t>Light crack and repairs- resistite smooth (no more than 5% of area) with 1 gal liquid</t>
  </si>
  <si>
    <t>Slurry Coat for repairs</t>
  </si>
  <si>
    <t>Caulk 1/2 to 3/4 inch control joints (SIKA 2C)</t>
  </si>
  <si>
    <t>Remove and Replace Expansion joints- backer rod and sealant (SIKA 2C)</t>
  </si>
  <si>
    <t>Large cracks with reseal (route, fill with speed bond/sand and spot texture)</t>
  </si>
  <si>
    <t>Large cracks with new system (route, fill with speed bond)</t>
  </si>
  <si>
    <t>Bubbled and failed textured areas (prep, patch,spot textured with resistite)</t>
  </si>
  <si>
    <t>RESISTITE UNIVERSAL PRIMER ADD 50% WATER)</t>
  </si>
  <si>
    <t>Texture for repairs</t>
  </si>
  <si>
    <t>AJ -44 Sealer</t>
  </si>
  <si>
    <t>Add for masking and spraying coping from the water</t>
  </si>
  <si>
    <t>Add for saw cut joints</t>
  </si>
  <si>
    <t>Add for removing and replacing concrete (no more than 100 sq ft)</t>
  </si>
  <si>
    <t>DETAIL PERIMETER - RP FABRIC 10" x 300' (FROM ACME BAG)</t>
  </si>
  <si>
    <t>DETAIL PERIMETER - CPC MEMBRANE</t>
  </si>
  <si>
    <t>Sand,hand wash, or pressure wash to prepare area</t>
  </si>
  <si>
    <t>Primer if needed:  EC-11 primer</t>
  </si>
  <si>
    <t>#30 or #60 Silica Sand (With Primer)</t>
  </si>
  <si>
    <t>Underlay over rough surface: Grey TC-1 Cement</t>
  </si>
  <si>
    <t>WP-47 fiber lathe (475 SQ FT ROLL)</t>
  </si>
  <si>
    <t>Membrane Grey TC-1 Cement</t>
  </si>
  <si>
    <t>Slurry Coat / Standard Semi-Smooth Texture: Grey TC-1 Cement</t>
  </si>
  <si>
    <t>Grout Coat for Tile Pattern:  Grey TC-5 Texture Cement</t>
  </si>
  <si>
    <t>1/4 inch grout tape, Standard 12 x 12 tile pattern, tape and labor</t>
  </si>
  <si>
    <t>Smooth Texture:  Grey TC-1 Cement</t>
  </si>
  <si>
    <t>Knock Down Texture: Grey TC-3 Cement</t>
  </si>
  <si>
    <t>Skip Trowel:  White TC-2 Smooth Cement</t>
  </si>
  <si>
    <t>SC-35 Water based stain</t>
  </si>
  <si>
    <t>TC-40 Liquid Colorant</t>
  </si>
  <si>
    <t>SC-70 clear acrylic lacquer</t>
  </si>
  <si>
    <t>SC-10 Topcoat</t>
  </si>
  <si>
    <t>WP-81 Liquid</t>
  </si>
  <si>
    <t>WP-90 Liquid</t>
  </si>
  <si>
    <t>Sand, Hand wash, or Pressure wash to prepare area</t>
  </si>
  <si>
    <t>Sheet Membrane; 6" WP-40 for plywood seams only</t>
  </si>
  <si>
    <t>Sheet Membrane; WP-40 for entire deck (10-YEAR MANUFACTURER WARRANTY REQ)</t>
  </si>
  <si>
    <t>2.5 LB Galvanized Metal Lathe</t>
  </si>
  <si>
    <t>Staples (1" Crown x 3 / 4 long Box of 13, 500 qty)</t>
  </si>
  <si>
    <t>Base Coat:  Grey TC-1 Base Coat Cement</t>
  </si>
  <si>
    <t>Slurry Coat:  Grey TC-1 Base Coat Cement</t>
  </si>
  <si>
    <t>KD Texture Coat: Grey TC-3 Texture Coat Cement (Semi-Smooth or Knock Down)</t>
  </si>
  <si>
    <t>Slurry Coat Grout Coat (Pattern): Grey TC-5 Grout Texture Cement</t>
  </si>
  <si>
    <t>Grout and Texture Color Option: TC-40 Liquid Colorant</t>
  </si>
  <si>
    <t>Pattern:  1/4 inch grout tape, Standard 12 x 12 tile pattern, tape and labor</t>
  </si>
  <si>
    <t>Skip Trowel Texture:  White TC-2 Smooth Texture Cement</t>
  </si>
  <si>
    <t>KD Texture Coat: Grey TC-3 Texture Coat Cement (Semi-Smooth or Knock Down) 1</t>
  </si>
  <si>
    <t>Water Base Stain in Lieu of Liquid Colorant:  SC-35X</t>
  </si>
  <si>
    <t>Top Coat:  SC-70 clear acrylic lacquer</t>
  </si>
  <si>
    <t>Top Coat:  SC-10 Acrylic Top Coat</t>
  </si>
  <si>
    <t>Light crack and repairs- speed bond (no more than 1% of area)</t>
  </si>
  <si>
    <t>Acrathane premium sealer for walking or driving surfaces</t>
  </si>
  <si>
    <t>PARATERM BAR LF</t>
  </si>
  <si>
    <t>PARA STICK AND DRY (REAR LAG, BLOCK OUTS, RAKERS)</t>
  </si>
  <si>
    <t>DYMONIC 100 OR VULKEM 116 CAULK (FOR TERM BAR)</t>
  </si>
  <si>
    <t>PARAMASTIC (1000 LF PER PAIL FOR PREP &amp; TERMINATIONS)</t>
  </si>
  <si>
    <t>PARAGRANULAR (FOR CANT AT FOOTING)</t>
  </si>
  <si>
    <t>PARASEAL LG ROLLS (4X24)</t>
  </si>
  <si>
    <t>PARASEAL LG CORNER DETAILS &amp; LABOR FOR STARTER STRIP</t>
  </si>
  <si>
    <t>LABOR FOR ALL PENETRATIONS, CEMENT BOARD, LAGGING PREP</t>
  </si>
  <si>
    <t>NON-POUROUS PRIMER</t>
  </si>
  <si>
    <t>SUPERSTOP (FOUNDATIONS AND WALLS) 1/2" X 1"X 20 FT</t>
  </si>
  <si>
    <t>PINS &amp; LOADS</t>
  </si>
  <si>
    <t>**VULKEM 201 T CAN SOMETIMES BE USED IN LIEU OF PARAMASTIC ON LARGE JOBS.  CHECK WITH MANUFACTURER</t>
  </si>
  <si>
    <t>DUROROCK 1/4" x 3ft x5ft for LAGING BEAMS AND ROCK POCKETS</t>
  </si>
  <si>
    <t>3/4" GRAVEL FOR ROCK POCKETS</t>
  </si>
  <si>
    <t>TREMDRAIN 1000 (VERTICAL ONLY)</t>
  </si>
  <si>
    <t>VISQUINE PROTECTION FOR INCLEMENT WEATHER</t>
  </si>
  <si>
    <t>UNIVERSAL OUTLETS</t>
  </si>
  <si>
    <t>TOTAL DRAIN 2' x 50' ( In lieu of rock &amp; pipe) "LINEAR FEET"</t>
  </si>
  <si>
    <t>4 INCH SCHEDULE 40 PIPE FOR ROCK POCKETS</t>
  </si>
  <si>
    <t>2.5 Galvanized Lathe</t>
  </si>
  <si>
    <t>PD Resin (If dimension exceeds 20 ft in any direction or for below tile)</t>
  </si>
  <si>
    <t>3/4 oz. Fiberglass</t>
  </si>
  <si>
    <t>GU80-1 grey Base Coat</t>
  </si>
  <si>
    <t>GU80-1 grey skim coat</t>
  </si>
  <si>
    <t>GU80-1 top coat texture coat semi-smooth or knockdown</t>
  </si>
  <si>
    <t>GU80-1 liquid</t>
  </si>
  <si>
    <t>GS88 Sealer</t>
  </si>
  <si>
    <t>Color Jar Pigment, 1 JAR per PAIL OF GS88</t>
  </si>
  <si>
    <t>GS13 Clear Sealer</t>
  </si>
  <si>
    <t>Prep to remove existing urethane</t>
  </si>
  <si>
    <t>Tuff Poxy #3 Primer</t>
  </si>
  <si>
    <t>2.5 Galvanized Metal Lathe (18 sq ft)</t>
  </si>
  <si>
    <t>Staples (3/4" crown, Box of 13,500)</t>
  </si>
  <si>
    <t>Tufflex Solvent Free "Tuff" Base Coat</t>
  </si>
  <si>
    <t>1/20 Mesh Sand</t>
  </si>
  <si>
    <t>Tufflex Solvent Free "Tuff" Intermediate Coat</t>
  </si>
  <si>
    <t>1/20 Mesh Sand Broadcast to Refusal</t>
  </si>
  <si>
    <t>Elasta-Tuff #6000-AL-SC Top Coat</t>
  </si>
  <si>
    <t>PARATERM BAR LF (TOP ONLY- STANDARD INSTALL)</t>
  </si>
  <si>
    <t>EXTRA PARATERM BAR LF (BOTTOM OR SIDES)</t>
  </si>
  <si>
    <t>VULKEM 116 CAULK (FOR TERM BAR)</t>
  </si>
  <si>
    <t>PARASEAL "STANDARD" ROLLS (4X24)</t>
  </si>
  <si>
    <t>SEAM TAPE</t>
  </si>
  <si>
    <t>PARAMASTIC AND PARASTICK AND DRY (FOR PENETRATIONS)</t>
  </si>
  <si>
    <t>INSIDE AND OUTSIDE CORNER DETAILS (PARASEAL)</t>
  </si>
  <si>
    <t>PROTECTION MAT (HORIZONTAL ONLY)</t>
  </si>
  <si>
    <t>PB-4 (VERTICAL ONLY)</t>
  </si>
  <si>
    <t>TREMDRAIN 1000 (HORIZONTAL ONLY)</t>
  </si>
  <si>
    <t>UNIVERSAL OUTLET</t>
  </si>
  <si>
    <t>UV PROTECTION DETAIL (PRIME AND COAT WITH VULKEM 801)</t>
  </si>
  <si>
    <t>191 QD PRIMER AND PREPARATION FOR RE-SURFACE</t>
  </si>
  <si>
    <t>TREMPRIME MULTI SURFACE (CONCRETE &amp; OTHER)</t>
  </si>
  <si>
    <t>#191 QD INTERLAMINATE PRIMER</t>
  </si>
  <si>
    <t>Vulkem Tremproof 250 GC L</t>
  </si>
  <si>
    <t>Vulkem Tremproof 250 GC R</t>
  </si>
  <si>
    <t>Vulkem Tremproof 201 L</t>
  </si>
  <si>
    <t>Vulkem Tremproof 201 R</t>
  </si>
  <si>
    <t>Tremco Dymonic 100 (Cant at footing and prep rebar)</t>
  </si>
  <si>
    <t>GLASSMAT #II (FROM MERKOTE / LOWRYS) WALLS</t>
  </si>
  <si>
    <t>GLASSMAT #II (FROM MERKOTE / LOWRYS) FLOORS YES/NO</t>
  </si>
  <si>
    <t>PW POLYESTER FABRIC FROM UPI 4"(PERIMETER)</t>
  </si>
  <si>
    <t>TREMCO DYMONIC 100 OR VULKEM 116 (PERIMETER JOINTS)</t>
  </si>
  <si>
    <t>PW POLYESTER FABRIC FROM UPI 4"(PLYWOOD SEAMS)</t>
  </si>
  <si>
    <t>TREMCO DYMONIC 100 OR VULKEM 116 (PLYWOOD JOINTS)</t>
  </si>
  <si>
    <t>CALIFORNIA SEALER FROM LOWRYS (GLUING DRAIN MAT)</t>
  </si>
  <si>
    <t>TERM BAR, VULKEM 116, PINS AND LOADS</t>
  </si>
  <si>
    <t>SUPERSTOP(LF)</t>
  </si>
  <si>
    <t>PENETRATIONS</t>
  </si>
  <si>
    <t>TOTAL DRAIN MINUS BOTTOM TD 1000(IN LIEU OF ROCK &amp; PIPE)</t>
  </si>
  <si>
    <t>Vulkem Tremproof 201 L 30 MILS</t>
  </si>
  <si>
    <t>Vulkem Tremproof 201 R 30 MILS</t>
  </si>
  <si>
    <t>Vulkem Tremproof 201 L 30 MILS(Additional)</t>
  </si>
  <si>
    <t>Vulkem Tremproof 201 R 30 MILS(Additional)</t>
  </si>
  <si>
    <t>PRIME AND ONE COAT OF VULKEM 801 ALUMINUM ROOF COATING @ WALL WITH SAND BROADCAST</t>
  </si>
  <si>
    <t>Vulkem Tremproof 250 GC L 30 MILS</t>
  </si>
  <si>
    <t>Vulkem Tremproof 250 GC R 30 MILS</t>
  </si>
  <si>
    <t>Vulkem Tremproof 250 GC L 30 MILS(Additional)</t>
  </si>
  <si>
    <t>Vulkem Tremproof 250 GC R 30 MILS(Additional)</t>
  </si>
  <si>
    <t>Dexcellent II Base Resin (saturate glass and detail perimeter)</t>
  </si>
  <si>
    <t>Fiberglass Matt (2000 sq ft rolls from Hill Brothers)</t>
  </si>
  <si>
    <t>Base Coat with Sand Cement and Acrylic binder from HD (MIX)</t>
  </si>
  <si>
    <t>Base Coat w Dexcelcrete Gray Powder</t>
  </si>
  <si>
    <t>Slurry with Dexcelcrete Gray Powder</t>
  </si>
  <si>
    <t>Texture with Dexcelcrete Gray Powder</t>
  </si>
  <si>
    <t>Dexcelcrete Liquid Adhesive</t>
  </si>
  <si>
    <t>(Stairs Only) Base Coat with Sand Cement and Acrylic Binder</t>
  </si>
  <si>
    <t>(Stairs Only) Base Coat with Dexcelcrete Gray Powder</t>
  </si>
  <si>
    <t>(Stairs Only) Dexcelcrete Liquid Adhesive</t>
  </si>
  <si>
    <t>(Stairs Only) Texture with Dexcelcrete Gray Powder and Liquid Adhesive</t>
  </si>
  <si>
    <t>Vista Paint Acripoxy (TOPCOAT)</t>
  </si>
  <si>
    <t>Dexcelent II Final Coat (TOPCOAT)</t>
  </si>
  <si>
    <t>CCW 702 WB PRIMER</t>
  </si>
  <si>
    <t>CCW LM-800 XL FOR PLYWOOD SEAMS AND DETAILS</t>
  </si>
  <si>
    <t>CCW LM-800 XL (45 LF PER TUBE FOR CANT &amp; TERMINATATIONS)</t>
  </si>
  <si>
    <t>CCW 704 MASTIC (45 LF PER TUBE FOR SEAMS)</t>
  </si>
  <si>
    <t>CCW MIRADRI 860 (3 FT X 66.7 FT ROLLS)</t>
  </si>
  <si>
    <t>CCW 704 MASTIC FOR PERIMETER DETAIL UNDER METAL (45 LF PER TUBE)</t>
  </si>
  <si>
    <t>PENETRATIONS (DETAIL SHEET AND MASTIC)</t>
  </si>
  <si>
    <t>FIX LEAKS AFTER WATER TEST BY OTHERS</t>
  </si>
  <si>
    <t>200 V PROTECTION (VERTICAL ONLY)</t>
  </si>
  <si>
    <t>300 HV PROTECTION (HORIZONTAL ONLY)</t>
  </si>
  <si>
    <t>MIRADRAIN 6000 XL (VERTICAL ONLY)</t>
  </si>
  <si>
    <t>MIRADRAIN 6000 XL  (HORIZONTAL ONLY)</t>
  </si>
  <si>
    <t>MIRASTICK ADHESIVE (GLUE DOWN DRAIN MAT)</t>
  </si>
  <si>
    <t>SIDE OUTLET 6"</t>
  </si>
  <si>
    <t>MIRADRAIN HC 1" DRAIN-PUNCHED 12" X 100'  (QUICK DRAIN)</t>
  </si>
  <si>
    <t>TERM BAR</t>
  </si>
  <si>
    <t>WATERSTOP (MIRASTOP)</t>
  </si>
  <si>
    <t>INSIDE AND OUTSIDE CORNER DETAILS (MIRADRI 860)</t>
  </si>
  <si>
    <t>Staples (1" Crown x 3 / 4 long 13, 500 qty)</t>
  </si>
  <si>
    <t>Base Coat:  (1 bag, Gray) TC-1 Base Coat Cement with 1-1/4 Gal WP-81</t>
  </si>
  <si>
    <t>Slurry Coat: (1 bag, Gray) TC-1 Base Coat Cement with 1 Gal WP-81, 1/2 Gal Water</t>
  </si>
  <si>
    <t>KD Texture Coat: (1 bag, Grey) TC-3 Texture Coat Cement with 1 Gal WP-81, 1/2 Gal Water</t>
  </si>
  <si>
    <t>Westcoat WP-47 Fiberlathe</t>
  </si>
  <si>
    <t>Westcoat WP-90 Resin</t>
  </si>
  <si>
    <t>Slurry Coat: (1 bag, White) TC-1 Base Coat Cement with 1 Gal WP-81, 1/2 Gal Water</t>
  </si>
  <si>
    <t>UI - 7012 PRIMER (FOR CONCRETE OR METAL)</t>
  </si>
  <si>
    <t>UI - 7013 SC BASE COAT</t>
  </si>
  <si>
    <t>WG Fabric 36"x150</t>
  </si>
  <si>
    <t>DETAIL TAPE (PERIMETER)</t>
  </si>
  <si>
    <t>VULKEM 116 SEALANT (10 OZ CARTRIDGE)</t>
  </si>
  <si>
    <t>VULKEM 116 SEALANT (10 OZ CARTRIDGE) 1</t>
  </si>
  <si>
    <t>7014 SC MEMBRANE (15 MILS)</t>
  </si>
  <si>
    <t>16/20 SAND BROADCAST TO REFUSAL</t>
  </si>
  <si>
    <t>#90 GLASS CAP (OPTIONAL FOR SLIP SHEET)</t>
  </si>
  <si>
    <t>ADD METAL LATHE AND STAPLES</t>
  </si>
  <si>
    <t>SAND/CEMENT AND ACRYLIC UNDERLAY AT 1/2 INCH THICK</t>
  </si>
  <si>
    <t>ENTER # OF DECKS TO WATER TEST "NO DAM'S NEEDED"</t>
  </si>
  <si>
    <t>ADD LF FOR DAMMING @ DRIP EDGE</t>
  </si>
  <si>
    <t>2 COATS VULKEM 350R/951  @ WALL (LF DECK TO WALL)</t>
  </si>
  <si>
    <t>OPTIONAL ADD FOR LABOR ON NON-COMPETITIVE QUOTES</t>
  </si>
  <si>
    <t>RP II FABRIC 10 IN WIDE FOR PERIMETER (300 LF) FROM ACME</t>
  </si>
  <si>
    <t>RP FABRIC 40 IN WIDE (1000 S.F.) FROM ACME BY THE YARD</t>
  </si>
  <si>
    <t>NEOBOND LIQUID</t>
  </si>
  <si>
    <t>RESISTITE POWDER</t>
  </si>
  <si>
    <t>NEOBOND MEMBRANE AND RP FABRIC FOR WALLS  (2 COATS)</t>
  </si>
  <si>
    <t>INTERLAMINATE PRIMER (XYLENE FROM LOWRYS)</t>
  </si>
  <si>
    <t>ELASTATEX 500 RESIN AND CATALYST (2 COATS/ HORIZONTAL SURFACES ONLY) 40 MILS</t>
  </si>
  <si>
    <t>DETAIL TAPE (4 inch PW polyester cloth-PERIMETER)</t>
  </si>
  <si>
    <t>DETAIL TAPE (4 PW inch polyester-NEW PLYWOOD)</t>
  </si>
  <si>
    <t>MURIATIC ACID WASH</t>
  </si>
  <si>
    <t>CALCIUM CHLORIDE TEST (MINIMUM OF 3 FOR EACH JOB)</t>
  </si>
  <si>
    <t>Dustless grind</t>
  </si>
  <si>
    <t>EC-12 Epoxy Primer</t>
  </si>
  <si>
    <t>EC-34 Epoxy 3 Gal</t>
  </si>
  <si>
    <t>EC-95 Clear Polyurethane top coat</t>
  </si>
  <si>
    <t>TC-60 COLOR CHIPS 10 sq ft per lb.</t>
  </si>
  <si>
    <t>A-81 underlayment for coved base (non-wet areas)</t>
  </si>
  <si>
    <t>BASE COAT &amp; BROADCAST SAND</t>
  </si>
  <si>
    <t>TOP COAT</t>
  </si>
  <si>
    <t>ADD LABOR FOR COVE BASE</t>
  </si>
  <si>
    <t>1 COAT (6 MILS) OF VC 200 PRIMER IN LIEU OF BONDCOAT (FOR HYDROSTATIC up to 10 lbs.)</t>
  </si>
  <si>
    <t>Add for Xypex Concentrate material</t>
  </si>
  <si>
    <t>Add for Xypex patch and plug material for cant</t>
  </si>
  <si>
    <t>Add for Xypex Mega Mix 1 (2nd coat)</t>
  </si>
  <si>
    <t>Add for Xypex modified (2nd coat)</t>
  </si>
  <si>
    <t>Add for penetrations  -customer to determine qty</t>
  </si>
  <si>
    <t>Add labor for 2 coats hopper spray or brush</t>
  </si>
  <si>
    <t>Add for 1 part admix and 2 parts water</t>
  </si>
  <si>
    <t>Add for Gamma Cure in lieu of wet cure</t>
  </si>
  <si>
    <t>Supplies (veg. oil, pump wash, rub gloves, tyvex suit, sheeting, goggles, buckets)</t>
  </si>
  <si>
    <t>1/2 inch drill bits</t>
  </si>
  <si>
    <t>DeNeef Flex catalist</t>
  </si>
  <si>
    <t>DeNeef Flex LV/SLV urethane resin</t>
  </si>
  <si>
    <t>1/2 inch yellow packers (3000 psi)</t>
  </si>
  <si>
    <t>Labor to drill holes and install packers</t>
  </si>
  <si>
    <t>Inject resin</t>
  </si>
  <si>
    <t>Add labor for additional injection material</t>
  </si>
  <si>
    <t>Add material/labor for patch and plug holes/EA HOLE</t>
  </si>
  <si>
    <t>set up and clean up</t>
  </si>
  <si>
    <t>Column1.metalId</t>
  </si>
  <si>
    <t>Column1.metalName</t>
  </si>
  <si>
    <t>Column1.units</t>
  </si>
  <si>
    <t>Column1.metalPrice</t>
  </si>
  <si>
    <t>Column1.productionRate</t>
  </si>
  <si>
    <t>Column1.metalType</t>
  </si>
  <si>
    <t>Column1.vendor</t>
  </si>
  <si>
    <t>L-Metal/Flashing 4'X10''</t>
  </si>
  <si>
    <t>24ga. Galvanized Primed Steel</t>
  </si>
  <si>
    <t>Chivon</t>
  </si>
  <si>
    <t>L-Metal/Flashing 4'X8''</t>
  </si>
  <si>
    <t>L-Metal/Flashing 4'X6''</t>
  </si>
  <si>
    <t>Drip Edge Metal 4" x 4"</t>
  </si>
  <si>
    <t>Drip Edge Metal 3" x 4"</t>
  </si>
  <si>
    <t>Drip Edge Metal 2" x 4"</t>
  </si>
  <si>
    <t>Stair Metal 4" x 10"</t>
  </si>
  <si>
    <t>Stair Metal 4" x 8"</t>
  </si>
  <si>
    <t>Stair Metal 4X6</t>
  </si>
  <si>
    <t>Stair Metal 3X3</t>
  </si>
  <si>
    <t>Open End Stair Metal (Set of 2 L&amp;R)</t>
  </si>
  <si>
    <t>Door Pan 10' - 12'</t>
  </si>
  <si>
    <t>Door Pan 8'</t>
  </si>
  <si>
    <t>Door Pan 6'</t>
  </si>
  <si>
    <t>Door Pan 4'</t>
  </si>
  <si>
    <t>Door Pan 3'</t>
  </si>
  <si>
    <t>Door Saddles (4 Ft.)</t>
  </si>
  <si>
    <t>Door Saddles (6Ft)</t>
  </si>
  <si>
    <t>Door Saddles (8Ft)</t>
  </si>
  <si>
    <t>Door Saddles (10 Ft)</t>
  </si>
  <si>
    <t>Inside Corner</t>
  </si>
  <si>
    <t>Outside Corner</t>
  </si>
  <si>
    <t>Inside Edge Corner</t>
  </si>
  <si>
    <t>Outside Edge Corner</t>
  </si>
  <si>
    <t>Door Corners Set Of 2 (L&amp;R)</t>
  </si>
  <si>
    <t>Stringer Transition Cap</t>
  </si>
  <si>
    <t>Corner Drip Termination</t>
  </si>
  <si>
    <t>Offset Drip Termination</t>
  </si>
  <si>
    <t>Straight Drip Termination</t>
  </si>
  <si>
    <t>2 Inch Chivon Drains</t>
  </si>
  <si>
    <t>2" x 4" x 9" Standard Scupper</t>
  </si>
  <si>
    <t>3" x 4" x 9" standard scupper</t>
  </si>
  <si>
    <t>4" x 4" x 9" standard scupper</t>
  </si>
  <si>
    <t>Scupper With A Collar 4X4X9</t>
  </si>
  <si>
    <t>Overflow Scupper</t>
  </si>
  <si>
    <t>Two Stage Scupper</t>
  </si>
  <si>
    <t>Post Collars 4X4 W/ Kerf</t>
  </si>
  <si>
    <t>Pins &amp; Loads for metal over concrete</t>
  </si>
  <si>
    <t>Nosing for Concrete risers</t>
  </si>
  <si>
    <t>Nails, caulk + overage on metal</t>
  </si>
  <si>
    <t>Drip Termination</t>
  </si>
  <si>
    <t>26 ga. Type 304 Stainless Steel</t>
  </si>
  <si>
    <t>16oz Copper</t>
  </si>
  <si>
    <t>Thunder Bird</t>
  </si>
  <si>
    <t>Column1.name</t>
  </si>
  <si>
    <t>Column1.value</t>
  </si>
  <si>
    <t>Column1.laborId</t>
  </si>
  <si>
    <t>Prevailing Wage</t>
  </si>
  <si>
    <t>Deduct on Labor for large jobs</t>
  </si>
  <si>
    <t>Workers Comp TL &gt; $24.00</t>
  </si>
  <si>
    <t>Workers Comp All &lt; $23.99</t>
  </si>
  <si>
    <t>Workers Comp Prevailing Wage</t>
  </si>
  <si>
    <t>Payroll Expense (SS, ET, Uemp, Dis, Medicare)</t>
  </si>
  <si>
    <t>Tax</t>
  </si>
  <si>
    <t>Profit Margin on subcontract labor</t>
  </si>
  <si>
    <t>Profit Margin add</t>
  </si>
  <si>
    <t>Profit deduct for special metal</t>
  </si>
  <si>
    <t>Profit Margin</t>
  </si>
  <si>
    <t>General Liability (total based on revenue)</t>
  </si>
  <si>
    <t>DirectExpense</t>
  </si>
  <si>
    <t>Contingency</t>
  </si>
  <si>
    <t>Insurance Increase Fund (5 % on total sale)</t>
  </si>
  <si>
    <t>Fuel/Sur Chg (1-PRICE OF GAS) /-40</t>
  </si>
  <si>
    <t>Add mark up to total job price</t>
  </si>
  <si>
    <t>Profit Margin Metal</t>
  </si>
  <si>
    <t>Profit Margin Material</t>
  </si>
  <si>
    <t>Profit Margin Slope</t>
  </si>
  <si>
    <t>Profit Margin SubContract</t>
  </si>
  <si>
    <t>Minimum Labor charge</t>
  </si>
  <si>
    <t>Column1.groupName</t>
  </si>
  <si>
    <t>Column1.mainGroupName</t>
  </si>
  <si>
    <t>Column1.rank</t>
  </si>
  <si>
    <t>Weather Wear</t>
  </si>
  <si>
    <t>Dexotex</t>
  </si>
  <si>
    <t>Deck Coatings</t>
  </si>
  <si>
    <t>Weather Wear Rehab</t>
  </si>
  <si>
    <t>Barrier Guard</t>
  </si>
  <si>
    <t>Endurokote</t>
  </si>
  <si>
    <t>Desert Crete</t>
  </si>
  <si>
    <t>Hill Brothers</t>
  </si>
  <si>
    <t>Paraseal</t>
  </si>
  <si>
    <t>Tremco</t>
  </si>
  <si>
    <t>Below Grade</t>
  </si>
  <si>
    <t>Paraseal LG</t>
  </si>
  <si>
    <t>860 Carlisle</t>
  </si>
  <si>
    <t>Carlisle</t>
  </si>
  <si>
    <t>201</t>
  </si>
  <si>
    <t>250 GC</t>
  </si>
  <si>
    <t>Pli-Dek</t>
  </si>
  <si>
    <t>Pli -Dek</t>
  </si>
  <si>
    <t>Pedestrian System</t>
  </si>
  <si>
    <t>UPI</t>
  </si>
  <si>
    <t>Parking Garage</t>
  </si>
  <si>
    <t>Tufflex</t>
  </si>
  <si>
    <t>Color Wash Reseal</t>
  </si>
  <si>
    <t>Westcoat</t>
  </si>
  <si>
    <t>ALX</t>
  </si>
  <si>
    <t>MACoat</t>
  </si>
  <si>
    <t>Reseal all systems</t>
  </si>
  <si>
    <t>Reseal</t>
  </si>
  <si>
    <t>Resistite</t>
  </si>
  <si>
    <t>Concrete On Grade</t>
  </si>
  <si>
    <t>Multicoat</t>
  </si>
  <si>
    <t>Dexcellent II</t>
  </si>
  <si>
    <t>Nevada Coatings</t>
  </si>
  <si>
    <t>Westcoat BT</t>
  </si>
  <si>
    <t>Below Tile</t>
  </si>
  <si>
    <t>UPI BT</t>
  </si>
  <si>
    <t>Dual Flex</t>
  </si>
  <si>
    <t>Westcoat Epoxy</t>
  </si>
  <si>
    <t>Epoxy Coatings</t>
  </si>
  <si>
    <t>Polyurethane Injection Block</t>
  </si>
  <si>
    <t>DeNeef</t>
  </si>
  <si>
    <t>Xypex</t>
  </si>
  <si>
    <t>Negative side coating</t>
  </si>
  <si>
    <t>Blank</t>
  </si>
  <si>
    <t>Independent</t>
  </si>
  <si>
    <t>Blank Template</t>
  </si>
  <si>
    <t>Column1.factorName</t>
  </si>
  <si>
    <t>Column1.factorValue</t>
  </si>
  <si>
    <t>Column1.freightID</t>
  </si>
  <si>
    <t>Weight10000</t>
  </si>
  <si>
    <t>Weight5000</t>
  </si>
  <si>
    <t>Weight2000</t>
  </si>
  <si>
    <t>Weight1000</t>
  </si>
  <si>
    <t>Weight400</t>
  </si>
  <si>
    <t>SlopeProdRate</t>
  </si>
  <si>
    <t>DriveHourLaborRate</t>
  </si>
  <si>
    <t>LaborRate</t>
  </si>
  <si>
    <t>Project Name</t>
  </si>
  <si>
    <t>Updated</t>
  </si>
  <si>
    <t>Goto Data tab in Ribbon and click on  Refresh All.</t>
  </si>
  <si>
    <t>Update the prices in each sheet depending on the project you want to.</t>
  </si>
  <si>
    <t>Once you update the prices, "Yes" will be automatically written in the Updated column for the updated row.</t>
  </si>
  <si>
    <t>Launch WICR tool and from the menu, click Bulk upload button.</t>
  </si>
  <si>
    <t>Browse to this pricing file and click OK.</t>
  </si>
  <si>
    <t>This is will update all the prices which has "Updated" column value as "Yes"</t>
  </si>
  <si>
    <t>Paraseal GM</t>
  </si>
  <si>
    <t>Yes</t>
  </si>
  <si>
    <t>PARA STICK AND DRY (REAR LAG, BLOCK OUTS, RAKERS, SEAMS)</t>
  </si>
  <si>
    <t>PARASEAL GM/LG</t>
  </si>
  <si>
    <t>PARASEAL GM/LG CORNER DETAILS AND STARTER STRIP</t>
  </si>
  <si>
    <t>JT TAPE FOR SEAMS</t>
  </si>
  <si>
    <t>PB4 PROTECTION BOARD</t>
  </si>
  <si>
    <t>TOTAL DRAIN 2' x 50' ( In lieu of rock &amp; pipe) LINEAR FEET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</si>
</sst>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horizontal="right" wrapText="1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NumberForma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2E8E08B-624B-4A95-9C14-17F4696D4271}" autoFormatId="16" applyNumberFormats="0" applyBorderFormats="0" applyFontFormats="0" applyPatternFormats="0" applyAlignmentFormats="0" applyWidthHeightFormats="0">
  <queryTableRefresh nextId="12" unboundColumnsRight="2">
    <queryTableFields count="8">
      <queryTableField id="1" name="Column1.slopeId" tableColumnId="1"/>
      <queryTableField id="2" name="Column1.slopeName" tableColumnId="2"/>
      <queryTableField id="3" name="Column1.laborRate" tableColumnId="3"/>
      <queryTableField id="4" name="Column1.perMixCost" tableColumnId="4"/>
      <queryTableField id="5" name="Column1.slopeType" tableColumnId="5"/>
      <queryTableField id="6" name="Column1.projectId" tableColumnId="6"/>
      <queryTableField id="8" dataBound="0" tableColumnId="8"/>
      <queryTableField id="10" dataBound="0" tableColumnId="10"/>
    </queryTableFields>
    <queryTableDeletedFields count="1">
      <deletedField name="Column1.isDelete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B27E8CBD-2D80-46CA-9BD1-A9A639DC4CBC}" autoFormatId="16" applyNumberFormats="0" applyBorderFormats="0" applyFontFormats="0" applyPatternFormats="0" applyAlignmentFormats="0" applyWidthHeightFormats="0">
  <queryTableRefresh nextId="13" unboundColumnsRight="1">
    <queryTableFields count="9">
      <queryTableField id="1" name="Column1.metalId" tableColumnId="1"/>
      <queryTableField id="2" name="Column1.metalName" tableColumnId="2"/>
      <queryTableField id="3" name="Column1.units" tableColumnId="3"/>
      <queryTableField id="4" name="Column1.metalPrice" tableColumnId="4"/>
      <queryTableField id="5" name="Column1.productionRate" tableColumnId="5"/>
      <queryTableField id="6" name="Column1.metalType" tableColumnId="6"/>
      <queryTableField id="7" name="Column1.vendor" tableColumnId="7"/>
      <queryTableField id="10" name="Column1.projectId" tableColumnId="10"/>
      <queryTableField id="12" dataBound="0" tableColumnId="12"/>
    </queryTableFields>
    <queryTableDeletedFields count="2">
      <deletedField name="Column1.isDeleted"/>
      <deletedField name="Column1.projectId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6DF899C-3EB4-4C61-9182-E79BA41EABBE}" autoFormatId="16" applyNumberFormats="0" applyBorderFormats="0" applyFontFormats="0" applyPatternFormats="0" applyAlignmentFormats="0" applyWidthHeightFormats="0">
  <queryTableRefresh nextId="14" unboundColumnsRight="2">
    <queryTableFields count="12">
      <queryTableField id="1" name="Column1.projectId" tableColumnId="1"/>
      <queryTableField id="2" name="Column1.materialId" tableColumnId="2"/>
      <queryTableField id="3" name="Column1.materialName" tableColumnId="3"/>
      <queryTableField id="4" name="Column1.coverage" tableColumnId="4"/>
      <queryTableField id="5" name="Column1.materialPrice" tableColumnId="5"/>
      <queryTableField id="6" name="Column1.weight" tableColumnId="6"/>
      <queryTableField id="7" name="Column1.prodRateHorizontal" tableColumnId="7"/>
      <queryTableField id="8" name="Column1.prodRateVertical" tableColumnId="8"/>
      <queryTableField id="9" name="Column1.prodRateStair" tableColumnId="9"/>
      <queryTableField id="10" name="Column1.laborMinCharge" tableColumnId="10"/>
      <queryTableField id="12" dataBound="0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EDCA155-DD39-4DC7-9629-498929B2D26E}" autoFormatId="16" applyNumberFormats="0" applyBorderFormats="0" applyFontFormats="0" applyPatternFormats="0" applyAlignmentFormats="0" applyWidthHeightFormats="0">
  <queryTableRefresh nextId="9" unboundColumnsRight="2">
    <queryTableFields count="6">
      <queryTableField id="1" name="Column1.name" tableColumnId="1"/>
      <queryTableField id="2" name="Column1.value" tableColumnId="2"/>
      <queryTableField id="3" name="Column1.projectId" tableColumnId="3"/>
      <queryTableField id="4" name="Column1.laborId" tableColumnId="4"/>
      <queryTableField id="7" dataBound="0" tableColumnId="7"/>
      <queryTableField id="8" dataBound="0" tableColumnId="8"/>
    </queryTableFields>
    <queryTableDeletedFields count="1">
      <deletedField name="Column1.isDeleted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6A30104-B57F-418F-913C-B3F9BDDAE807}" autoFormatId="16" applyNumberFormats="0" applyBorderFormats="0" applyFontFormats="0" applyPatternFormats="0" applyAlignmentFormats="0" applyWidthHeightFormats="0">
  <queryTableRefresh nextId="13">
    <queryTableFields count="5">
      <queryTableField id="5" name="Column1.projectId" tableColumnId="5"/>
      <queryTableField id="1" name="Column1.name" tableColumnId="1"/>
      <queryTableField id="2" name="Column1.groupName" tableColumnId="2"/>
      <queryTableField id="3" name="Column1.mainGroupName" tableColumnId="3"/>
      <queryTableField id="4" name="Column1.rank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8D7B8D0-E2B9-4EA5-911E-D47A6E068B8C}" autoFormatId="16" applyNumberFormats="0" applyBorderFormats="0" applyFontFormats="0" applyPatternFormats="0" applyAlignmentFormats="0" applyWidthHeightFormats="0">
  <queryTableRefresh nextId="9" unboundColumnsRight="1">
    <queryTableFields count="4">
      <queryTableField id="1" name="Column1.factorName" tableColumnId="1"/>
      <queryTableField id="2" name="Column1.factorValue" tableColumnId="2"/>
      <queryTableField id="4" name="Column1.freightID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1AF4FF-A592-4689-8200-D0317A9AA308}" name="getslopes" displayName="getslopes" ref="A1:H273" tableType="queryTable" totalsRowShown="0">
  <autoFilter ref="A1:H273" xr:uid="{8E129625-05C1-4911-96FF-E9BE9ED19BDC}"/>
  <tableColumns count="8">
    <tableColumn id="1" xr3:uid="{0CA85530-1DFF-4D77-84C2-18320598009B}" uniqueName="1" name="Column1.slopeId" queryTableFieldId="1"/>
    <tableColumn id="2" xr3:uid="{49D842EE-21D8-4CD4-B74B-955D21D14D2C}" uniqueName="2" name="Column1.slopeName" queryTableFieldId="2"/>
    <tableColumn id="3" xr3:uid="{F22CFAF3-5BB0-4DE5-B6CA-0593EF7928FE}" uniqueName="3" name="Column1.laborRate" queryTableFieldId="3"/>
    <tableColumn id="4" xr3:uid="{5E97133A-9462-41A1-BCBE-78DBE83AF7E3}" uniqueName="4" name="Column1.perMixCost" queryTableFieldId="4"/>
    <tableColumn id="5" xr3:uid="{CC7222CD-2093-4C6A-9C49-C4FA84E3D737}" uniqueName="5" name="Column1.slopeType" queryTableFieldId="5"/>
    <tableColumn id="6" xr3:uid="{B388525B-EEC4-45F3-9575-2B98DFAEBCDA}" uniqueName="6" name="Column1.projectId" queryTableFieldId="6"/>
    <tableColumn id="8" xr3:uid="{5A3561A2-2152-4C59-80DC-CE42628A174E}" uniqueName="8" name="Project Name" queryTableFieldId="8" dataDxfId="2">
      <calculatedColumnFormula>VLOOKUP(getslopes[[#This Row],[Column1.projectId]],projects[],2,FALSE)</calculatedColumnFormula>
    </tableColumn>
    <tableColumn id="10" xr3:uid="{BA23E878-E6EA-4BA1-B326-BFA5CA87320B}" uniqueName="10" name="Update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55D8CE-3905-4204-9445-70FE84D029A8}" name="metals" displayName="metals" ref="A1:I247" tableType="queryTable" totalsRowShown="0">
  <autoFilter ref="A1:I247" xr:uid="{0BF5EC41-C13F-471E-9919-CE1ACCE316C2}"/>
  <tableColumns count="9">
    <tableColumn id="1" xr3:uid="{D5FA05D5-DE72-4DD3-9CCC-7CB1D3DDF7A9}" uniqueName="1" name="Column1.metalId" queryTableFieldId="1"/>
    <tableColumn id="2" xr3:uid="{6AAD31ED-BAD7-4413-862B-C63A03FE2001}" uniqueName="2" name="Column1.metalName" queryTableFieldId="2"/>
    <tableColumn id="3" xr3:uid="{87BE2C24-6D81-446E-B499-CF99604B4CB1}" uniqueName="3" name="Column1.units" queryTableFieldId="3"/>
    <tableColumn id="4" xr3:uid="{2B5BBF51-8D9A-46CA-8C75-9FFCB9D216EA}" uniqueName="4" name="Column1.metalPrice" queryTableFieldId="4"/>
    <tableColumn id="5" xr3:uid="{56279FE9-AF4E-46AC-83FF-0DC3ABC8BBBF}" uniqueName="5" name="Column1.productionRate" queryTableFieldId="5"/>
    <tableColumn id="6" xr3:uid="{D2F2AA56-4A25-4BFB-9D8E-7057EC8B6889}" uniqueName="6" name="Column1.metalType" queryTableFieldId="6"/>
    <tableColumn id="7" xr3:uid="{B614394C-F943-49C3-B7DA-850E6A68A83B}" uniqueName="7" name="Column1.vendor" queryTableFieldId="7"/>
    <tableColumn id="10" xr3:uid="{1F385048-8248-4023-84A4-24AA7A62DC5D}" uniqueName="10" name="Column1.projectId" queryTableFieldId="10"/>
    <tableColumn id="12" xr3:uid="{E8E232D4-FB91-46A9-9528-3035FB22012C}" uniqueName="12" name="Updated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87147C-6023-41DF-9D62-10532BD720A7}" name="materials" displayName="materials" ref="A1:L510" tableType="queryTable" totalsRowShown="0">
  <autoFilter ref="A1:L510" xr:uid="{EFB131C5-02E6-441B-8B10-422CEA2D8A0A}"/>
  <tableColumns count="12">
    <tableColumn id="1" xr3:uid="{087BEB52-8BB0-4258-8066-B1F191C764FE}" uniqueName="1" name="Column1.projectId" queryTableFieldId="1"/>
    <tableColumn id="2" xr3:uid="{08EF24FD-F00D-4825-95BC-573D8402E871}" uniqueName="2" name="Column1.materialId" queryTableFieldId="2"/>
    <tableColumn id="3" xr3:uid="{307985D8-0DE4-41DC-B11A-720AC71DA39A}" uniqueName="3" name="Column1.materialName" queryTableFieldId="3"/>
    <tableColumn id="4" xr3:uid="{7408D385-B69B-4C61-B1AA-CC48E7457F30}" uniqueName="4" name="Column1.coverage" queryTableFieldId="4"/>
    <tableColumn id="5" xr3:uid="{01EC3576-9866-4BCE-ABCC-F01A26F15F19}" uniqueName="5" name="Column1.materialPrice" queryTableFieldId="5"/>
    <tableColumn id="6" xr3:uid="{2D05D6E9-C207-4756-B316-907744C644DC}" uniqueName="6" name="Column1.weight" queryTableFieldId="6"/>
    <tableColumn id="7" xr3:uid="{A78A7B76-E147-4DBD-8C5F-9AE76C220EA0}" uniqueName="7" name="Column1.prodRateHorizontal" queryTableFieldId="7"/>
    <tableColumn id="8" xr3:uid="{C340BA74-4598-4A0F-B949-CBAE5142A244}" uniqueName="8" name="Column1.prodRateVertical" queryTableFieldId="8"/>
    <tableColumn id="9" xr3:uid="{E9711F0D-503E-4B41-905E-48F2707BA5BF}" uniqueName="9" name="Column1.prodRateStair" queryTableFieldId="9"/>
    <tableColumn id="10" xr3:uid="{752B727D-5E06-44DD-A79D-5FF8E971D769}" uniqueName="10" name="Column1.laborMinCharge" queryTableFieldId="10"/>
    <tableColumn id="12" xr3:uid="{CDCC62D9-11FD-4077-95F7-DA0FE857FF0F}" uniqueName="12" name="Project Name" queryTableFieldId="12" dataDxfId="0">
      <calculatedColumnFormula>VLOOKUP(materials[[#This Row],[Column1.projectId]],projects[],2,FALSE)</calculatedColumnFormula>
    </tableColumn>
    <tableColumn id="13" xr3:uid="{577CD20C-2D70-42DA-ACDF-E95B6BEBD262}" uniqueName="13" name="Updated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DC1094-6209-4397-99A2-A251B7E5E18D}" name="labors" displayName="labors" ref="A1:F617" tableType="queryTable" totalsRowShown="0">
  <autoFilter ref="A1:F617" xr:uid="{F995D892-2799-4BAF-BACD-88A017968964}"/>
  <tableColumns count="6">
    <tableColumn id="1" xr3:uid="{3BA779E7-4C11-4283-AE9E-EDBD8DCA71D5}" uniqueName="1" name="Column1.name" queryTableFieldId="1"/>
    <tableColumn id="2" xr3:uid="{6ECE4986-F372-4653-AE5F-D80B6BBD9817}" uniqueName="2" name="Column1.value" queryTableFieldId="2"/>
    <tableColumn id="3" xr3:uid="{3EEFA930-E3F3-4AE6-AAEF-43A172235E3D}" uniqueName="3" name="Column1.projectId" queryTableFieldId="3"/>
    <tableColumn id="4" xr3:uid="{B78A840E-009D-4DFD-82C4-D2754B2292F2}" uniqueName="4" name="Column1.laborId" queryTableFieldId="4"/>
    <tableColumn id="7" xr3:uid="{B66EC21B-81C4-4804-85CD-2C62F67AF431}" uniqueName="7" name="Project Name" queryTableFieldId="7" dataDxfId="1">
      <calculatedColumnFormula>VLOOKUP(labors[[#This Row],[Column1.projectId]],projects[],2,FALSE)</calculatedColumnFormula>
    </tableColumn>
    <tableColumn id="8" xr3:uid="{7E33854C-E768-4AA4-9BF5-78FD4856C335}" uniqueName="8" name="Updated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0CB3B3-CDBF-4E16-BD7F-13EA062BD646}" name="projects" displayName="projects" ref="A1:E30" tableType="queryTable" totalsRowShown="0">
  <autoFilter ref="A1:E30" xr:uid="{3D6C0355-B195-4B2A-852A-B66527789CBC}"/>
  <tableColumns count="5">
    <tableColumn id="5" xr3:uid="{9627FD0D-D58D-46AE-9B41-099B4C7FDA91}" uniqueName="5" name="Column1.projectId" queryTableFieldId="5"/>
    <tableColumn id="1" xr3:uid="{CA4089A0-8137-408B-B2EB-B8CAF38583E1}" uniqueName="1" name="Column1.name" queryTableFieldId="1"/>
    <tableColumn id="2" xr3:uid="{3F763C81-52F7-4FA2-AA32-F627D808C101}" uniqueName="2" name="Column1.groupName" queryTableFieldId="2"/>
    <tableColumn id="3" xr3:uid="{9B07516B-DC92-495B-A65C-E1D45A082EDB}" uniqueName="3" name="Column1.mainGroupName" queryTableFieldId="3"/>
    <tableColumn id="4" xr3:uid="{89A7CA6C-FD90-46E7-9072-38A62A8355C6}" uniqueName="4" name="Column1.rank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665A6E-FA41-450D-BCD8-BF9F6E94FF80}" name="freights" displayName="freights" ref="A1:D9" tableType="queryTable" totalsRowShown="0">
  <autoFilter ref="A1:D9" xr:uid="{62A10D80-C1DF-41F8-83DB-84DF6353D1D0}"/>
  <tableColumns count="4">
    <tableColumn id="1" xr3:uid="{75EFE8C2-52A5-4E40-AF44-01E4FFE9F470}" uniqueName="1" name="Column1.factorName" queryTableFieldId="1"/>
    <tableColumn id="2" xr3:uid="{7A6DAC17-7209-47B6-AC3B-410A101740CF}" uniqueName="2" name="Column1.factorValue" queryTableFieldId="2"/>
    <tableColumn id="4" xr3:uid="{7B7923D4-CF20-47C1-BEF3-D4C71657FA9C}" uniqueName="4" name="Column1.freightID" queryTableFieldId="4"/>
    <tableColumn id="5" xr3:uid="{C9C5D38A-93FF-42D9-9066-789174F6C155}" uniqueName="5" name="Updated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EA670-3107-41B5-8D5C-D600D58C44A1}">
  <sheetPr codeName="Sheet7"/>
  <dimension ref="A2:L9"/>
  <sheetViews>
    <sheetView workbookViewId="0">
      <selection activeCell="F11" sqref="F11"/>
    </sheetView>
  </sheetViews>
  <sheetFormatPr defaultRowHeight="14.25" x14ac:dyDescent="0.45"/>
  <cols>
    <col min="1" max="1" width="1.73046875" bestFit="1" customWidth="1"/>
  </cols>
  <sheetData>
    <row r="2" spans="1:12" x14ac:dyDescent="0.45">
      <c r="A2" s="2">
        <v>1</v>
      </c>
      <c r="B2" s="3" t="s">
        <v>507</v>
      </c>
      <c r="C2" s="3"/>
      <c r="D2" s="3"/>
      <c r="E2" s="3"/>
      <c r="F2" s="3"/>
      <c r="G2" s="3"/>
      <c r="H2" s="3"/>
      <c r="I2" s="3"/>
      <c r="J2" s="3"/>
      <c r="K2" s="3"/>
      <c r="L2" s="4"/>
    </row>
    <row r="3" spans="1:12" x14ac:dyDescent="0.45">
      <c r="A3" s="5">
        <v>2</v>
      </c>
      <c r="B3" s="6" t="s">
        <v>508</v>
      </c>
      <c r="C3" s="6"/>
      <c r="D3" s="6"/>
      <c r="E3" s="6"/>
      <c r="F3" s="6"/>
      <c r="G3" s="6"/>
      <c r="H3" s="6"/>
      <c r="I3" s="6"/>
      <c r="J3" s="6"/>
      <c r="K3" s="6"/>
      <c r="L3" s="7"/>
    </row>
    <row r="4" spans="1:12" x14ac:dyDescent="0.45">
      <c r="A4" s="5">
        <v>3</v>
      </c>
      <c r="B4" s="6" t="s">
        <v>509</v>
      </c>
      <c r="C4" s="6"/>
      <c r="D4" s="6"/>
      <c r="E4" s="6"/>
      <c r="F4" s="6"/>
      <c r="G4" s="6"/>
      <c r="H4" s="6"/>
      <c r="I4" s="6"/>
      <c r="J4" s="6"/>
      <c r="K4" s="6"/>
      <c r="L4" s="7"/>
    </row>
    <row r="5" spans="1:12" x14ac:dyDescent="0.45">
      <c r="A5" s="5">
        <v>4</v>
      </c>
      <c r="B5" s="6" t="s">
        <v>510</v>
      </c>
      <c r="C5" s="6"/>
      <c r="D5" s="6"/>
      <c r="E5" s="6"/>
      <c r="F5" s="6"/>
      <c r="G5" s="6"/>
      <c r="H5" s="6"/>
      <c r="I5" s="6"/>
      <c r="J5" s="6"/>
      <c r="K5" s="6"/>
      <c r="L5" s="7"/>
    </row>
    <row r="6" spans="1:12" x14ac:dyDescent="0.45">
      <c r="A6" s="5">
        <v>5</v>
      </c>
      <c r="B6" s="6" t="s">
        <v>511</v>
      </c>
      <c r="C6" s="6"/>
      <c r="D6" s="6"/>
      <c r="E6" s="6"/>
      <c r="F6" s="6"/>
      <c r="G6" s="6"/>
      <c r="H6" s="6"/>
      <c r="I6" s="6"/>
      <c r="J6" s="6"/>
      <c r="K6" s="6"/>
      <c r="L6" s="7"/>
    </row>
    <row r="7" spans="1:12" x14ac:dyDescent="0.45">
      <c r="A7" s="5">
        <v>6</v>
      </c>
      <c r="B7" s="6" t="s">
        <v>512</v>
      </c>
      <c r="C7" s="6"/>
      <c r="D7" s="6"/>
      <c r="E7" s="6"/>
      <c r="F7" s="6"/>
      <c r="G7" s="6"/>
      <c r="H7" s="6"/>
      <c r="I7" s="6"/>
      <c r="J7" s="6"/>
      <c r="K7" s="6"/>
      <c r="L7" s="7"/>
    </row>
    <row r="8" spans="1:12" x14ac:dyDescent="0.45">
      <c r="A8" s="5"/>
      <c r="B8" s="6"/>
      <c r="C8" s="6"/>
      <c r="D8" s="6"/>
      <c r="E8" s="6"/>
      <c r="F8" s="6"/>
      <c r="G8" s="6"/>
      <c r="H8" s="6"/>
      <c r="I8" s="6"/>
      <c r="J8" s="6"/>
      <c r="K8" s="6"/>
      <c r="L8" s="7"/>
    </row>
    <row r="9" spans="1:12" x14ac:dyDescent="0.45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62E3F-5F91-40DD-9BEB-69D9735076BD}">
  <sheetPr codeName="Sheet1"/>
  <dimension ref="A1:H273"/>
  <sheetViews>
    <sheetView topLeftCell="E1" workbookViewId="0">
      <selection activeCell="H2" sqref="H2:H273"/>
    </sheetView>
  </sheetViews>
  <sheetFormatPr defaultRowHeight="14.25" x14ac:dyDescent="0.45"/>
  <cols>
    <col min="1" max="1" width="16.796875" bestFit="1" customWidth="1"/>
    <col min="2" max="2" width="48.86328125" bestFit="1" customWidth="1"/>
    <col min="3" max="3" width="18.6640625" bestFit="1" customWidth="1"/>
    <col min="4" max="4" width="20.1328125" bestFit="1" customWidth="1"/>
    <col min="5" max="5" width="19.19921875" bestFit="1" customWidth="1"/>
    <col min="6" max="6" width="18.1328125" bestFit="1" customWidth="1"/>
    <col min="7" max="7" width="17.86328125" bestFit="1" customWidth="1"/>
    <col min="8" max="8" width="10" bestFit="1" customWidth="1"/>
  </cols>
  <sheetData>
    <row r="1" spans="1:8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505</v>
      </c>
      <c r="H1" t="s">
        <v>506</v>
      </c>
    </row>
    <row r="2" spans="1:8" x14ac:dyDescent="0.45">
      <c r="A2">
        <v>1</v>
      </c>
      <c r="B2" t="s">
        <v>6</v>
      </c>
      <c r="C2">
        <v>0</v>
      </c>
      <c r="D2">
        <v>20.49</v>
      </c>
      <c r="E2" t="s">
        <v>7</v>
      </c>
      <c r="F2">
        <v>1</v>
      </c>
      <c r="G2" t="str">
        <f>VLOOKUP(getslopes[[#This Row],[Column1.projectId]],projects[],2,FALSE)</f>
        <v>Weather Wear</v>
      </c>
    </row>
    <row r="3" spans="1:8" x14ac:dyDescent="0.45">
      <c r="A3">
        <v>2</v>
      </c>
      <c r="B3" t="s">
        <v>8</v>
      </c>
      <c r="C3">
        <v>24</v>
      </c>
      <c r="D3">
        <v>17.89</v>
      </c>
      <c r="E3" t="s">
        <v>7</v>
      </c>
      <c r="F3">
        <v>1</v>
      </c>
      <c r="G3" t="str">
        <f>VLOOKUP(getslopes[[#This Row],[Column1.projectId]],projects[],2,FALSE)</f>
        <v>Weather Wear</v>
      </c>
    </row>
    <row r="4" spans="1:8" x14ac:dyDescent="0.45">
      <c r="A4">
        <v>3</v>
      </c>
      <c r="B4" t="s">
        <v>9</v>
      </c>
      <c r="C4">
        <v>24</v>
      </c>
      <c r="D4">
        <v>13.68</v>
      </c>
      <c r="E4" t="s">
        <v>7</v>
      </c>
      <c r="F4">
        <v>1</v>
      </c>
      <c r="G4" t="str">
        <f>VLOOKUP(getslopes[[#This Row],[Column1.projectId]],projects[],2,FALSE)</f>
        <v>Weather Wear</v>
      </c>
    </row>
    <row r="5" spans="1:8" x14ac:dyDescent="0.45">
      <c r="A5">
        <v>4</v>
      </c>
      <c r="B5" t="s">
        <v>10</v>
      </c>
      <c r="C5">
        <v>30</v>
      </c>
      <c r="D5">
        <v>12.27</v>
      </c>
      <c r="E5" t="s">
        <v>7</v>
      </c>
      <c r="F5">
        <v>1</v>
      </c>
      <c r="G5" t="str">
        <f>VLOOKUP(getslopes[[#This Row],[Column1.projectId]],projects[],2,FALSE)</f>
        <v>Weather Wear</v>
      </c>
    </row>
    <row r="6" spans="1:8" x14ac:dyDescent="0.45">
      <c r="A6">
        <v>5</v>
      </c>
      <c r="B6" t="s">
        <v>11</v>
      </c>
      <c r="C6">
        <v>30</v>
      </c>
      <c r="D6">
        <v>11.57</v>
      </c>
      <c r="E6" t="s">
        <v>7</v>
      </c>
      <c r="F6">
        <v>1</v>
      </c>
      <c r="G6" t="str">
        <f>VLOOKUP(getslopes[[#This Row],[Column1.projectId]],projects[],2,FALSE)</f>
        <v>Weather Wear</v>
      </c>
    </row>
    <row r="7" spans="1:8" x14ac:dyDescent="0.45">
      <c r="A7">
        <v>6</v>
      </c>
      <c r="B7" t="s">
        <v>12</v>
      </c>
      <c r="C7">
        <v>30</v>
      </c>
      <c r="D7">
        <v>11.15</v>
      </c>
      <c r="E7" t="s">
        <v>7</v>
      </c>
      <c r="F7">
        <v>1</v>
      </c>
      <c r="G7" t="str">
        <f>VLOOKUP(getslopes[[#This Row],[Column1.projectId]],projects[],2,FALSE)</f>
        <v>Weather Wear</v>
      </c>
    </row>
    <row r="8" spans="1:8" x14ac:dyDescent="0.45">
      <c r="A8">
        <v>7</v>
      </c>
      <c r="B8" t="s">
        <v>13</v>
      </c>
      <c r="C8">
        <v>10</v>
      </c>
      <c r="D8">
        <v>10</v>
      </c>
      <c r="E8" t="s">
        <v>7</v>
      </c>
      <c r="F8">
        <v>1</v>
      </c>
      <c r="G8" t="str">
        <f>VLOOKUP(getslopes[[#This Row],[Column1.projectId]],projects[],2,FALSE)</f>
        <v>Weather Wear</v>
      </c>
    </row>
    <row r="9" spans="1:8" x14ac:dyDescent="0.45">
      <c r="A9">
        <v>8</v>
      </c>
      <c r="B9" t="s">
        <v>14</v>
      </c>
      <c r="C9">
        <v>6</v>
      </c>
      <c r="D9">
        <v>0</v>
      </c>
      <c r="E9" t="s">
        <v>7</v>
      </c>
      <c r="F9">
        <v>1</v>
      </c>
      <c r="G9" t="str">
        <f>VLOOKUP(getslopes[[#This Row],[Column1.projectId]],projects[],2,FALSE)</f>
        <v>Weather Wear</v>
      </c>
    </row>
    <row r="10" spans="1:8" x14ac:dyDescent="0.45">
      <c r="A10">
        <v>9</v>
      </c>
      <c r="B10" t="s">
        <v>15</v>
      </c>
      <c r="C10">
        <v>0</v>
      </c>
      <c r="D10">
        <v>20.49</v>
      </c>
      <c r="E10" t="s">
        <v>7</v>
      </c>
      <c r="F10">
        <v>2</v>
      </c>
      <c r="G10" t="str">
        <f>VLOOKUP(getslopes[[#This Row],[Column1.projectId]],projects[],2,FALSE)</f>
        <v>Weather Wear Rehab</v>
      </c>
    </row>
    <row r="11" spans="1:8" x14ac:dyDescent="0.45">
      <c r="A11">
        <v>10</v>
      </c>
      <c r="B11" t="s">
        <v>8</v>
      </c>
      <c r="C11">
        <v>24</v>
      </c>
      <c r="D11">
        <v>17.89</v>
      </c>
      <c r="E11" t="s">
        <v>7</v>
      </c>
      <c r="F11">
        <v>2</v>
      </c>
      <c r="G11" t="str">
        <f>VLOOKUP(getslopes[[#This Row],[Column1.projectId]],projects[],2,FALSE)</f>
        <v>Weather Wear Rehab</v>
      </c>
    </row>
    <row r="12" spans="1:8" x14ac:dyDescent="0.45">
      <c r="A12">
        <v>11</v>
      </c>
      <c r="B12" t="s">
        <v>9</v>
      </c>
      <c r="C12">
        <v>24</v>
      </c>
      <c r="D12">
        <v>13.68</v>
      </c>
      <c r="E12" t="s">
        <v>7</v>
      </c>
      <c r="F12">
        <v>2</v>
      </c>
      <c r="G12" t="str">
        <f>VLOOKUP(getslopes[[#This Row],[Column1.projectId]],projects[],2,FALSE)</f>
        <v>Weather Wear Rehab</v>
      </c>
    </row>
    <row r="13" spans="1:8" x14ac:dyDescent="0.45">
      <c r="A13">
        <v>12</v>
      </c>
      <c r="B13" t="s">
        <v>10</v>
      </c>
      <c r="C13">
        <v>30</v>
      </c>
      <c r="D13">
        <v>12.27</v>
      </c>
      <c r="E13" t="s">
        <v>7</v>
      </c>
      <c r="F13">
        <v>2</v>
      </c>
      <c r="G13" t="str">
        <f>VLOOKUP(getslopes[[#This Row],[Column1.projectId]],projects[],2,FALSE)</f>
        <v>Weather Wear Rehab</v>
      </c>
    </row>
    <row r="14" spans="1:8" x14ac:dyDescent="0.45">
      <c r="A14">
        <v>13</v>
      </c>
      <c r="B14" t="s">
        <v>11</v>
      </c>
      <c r="C14">
        <v>30</v>
      </c>
      <c r="D14">
        <v>11.57</v>
      </c>
      <c r="E14" t="s">
        <v>7</v>
      </c>
      <c r="F14">
        <v>2</v>
      </c>
      <c r="G14" t="str">
        <f>VLOOKUP(getslopes[[#This Row],[Column1.projectId]],projects[],2,FALSE)</f>
        <v>Weather Wear Rehab</v>
      </c>
    </row>
    <row r="15" spans="1:8" x14ac:dyDescent="0.45">
      <c r="A15">
        <v>14</v>
      </c>
      <c r="B15" t="s">
        <v>12</v>
      </c>
      <c r="C15">
        <v>30</v>
      </c>
      <c r="D15">
        <v>11.15</v>
      </c>
      <c r="E15" t="s">
        <v>7</v>
      </c>
      <c r="F15">
        <v>2</v>
      </c>
      <c r="G15" t="str">
        <f>VLOOKUP(getslopes[[#This Row],[Column1.projectId]],projects[],2,FALSE)</f>
        <v>Weather Wear Rehab</v>
      </c>
    </row>
    <row r="16" spans="1:8" x14ac:dyDescent="0.45">
      <c r="A16">
        <v>15</v>
      </c>
      <c r="B16" t="s">
        <v>13</v>
      </c>
      <c r="C16">
        <v>10</v>
      </c>
      <c r="D16">
        <v>10</v>
      </c>
      <c r="E16" t="s">
        <v>7</v>
      </c>
      <c r="F16">
        <v>2</v>
      </c>
      <c r="G16" t="str">
        <f>VLOOKUP(getslopes[[#This Row],[Column1.projectId]],projects[],2,FALSE)</f>
        <v>Weather Wear Rehab</v>
      </c>
    </row>
    <row r="17" spans="1:7" x14ac:dyDescent="0.45">
      <c r="A17">
        <v>16</v>
      </c>
      <c r="B17" t="s">
        <v>14</v>
      </c>
      <c r="C17">
        <v>6</v>
      </c>
      <c r="D17">
        <v>0</v>
      </c>
      <c r="E17" t="s">
        <v>7</v>
      </c>
      <c r="F17">
        <v>2</v>
      </c>
      <c r="G17" t="str">
        <f>VLOOKUP(getslopes[[#This Row],[Column1.projectId]],projects[],2,FALSE)</f>
        <v>Weather Wear Rehab</v>
      </c>
    </row>
    <row r="18" spans="1:7" x14ac:dyDescent="0.45">
      <c r="A18">
        <v>17</v>
      </c>
      <c r="B18" t="s">
        <v>15</v>
      </c>
      <c r="C18">
        <v>0</v>
      </c>
      <c r="D18">
        <v>20.49</v>
      </c>
      <c r="E18" t="s">
        <v>7</v>
      </c>
      <c r="F18">
        <v>3</v>
      </c>
      <c r="G18" t="str">
        <f>VLOOKUP(getslopes[[#This Row],[Column1.projectId]],projects[],2,FALSE)</f>
        <v>Barrier Guard</v>
      </c>
    </row>
    <row r="19" spans="1:7" x14ac:dyDescent="0.45">
      <c r="A19">
        <v>18</v>
      </c>
      <c r="B19" t="s">
        <v>8</v>
      </c>
      <c r="C19">
        <v>24</v>
      </c>
      <c r="D19">
        <v>17.89</v>
      </c>
      <c r="E19" t="s">
        <v>7</v>
      </c>
      <c r="F19">
        <v>3</v>
      </c>
      <c r="G19" t="str">
        <f>VLOOKUP(getslopes[[#This Row],[Column1.projectId]],projects[],2,FALSE)</f>
        <v>Barrier Guard</v>
      </c>
    </row>
    <row r="20" spans="1:7" x14ac:dyDescent="0.45">
      <c r="A20">
        <v>19</v>
      </c>
      <c r="B20" t="s">
        <v>9</v>
      </c>
      <c r="C20">
        <v>24</v>
      </c>
      <c r="D20">
        <v>13.68</v>
      </c>
      <c r="E20" t="s">
        <v>7</v>
      </c>
      <c r="F20">
        <v>3</v>
      </c>
      <c r="G20" t="str">
        <f>VLOOKUP(getslopes[[#This Row],[Column1.projectId]],projects[],2,FALSE)</f>
        <v>Barrier Guard</v>
      </c>
    </row>
    <row r="21" spans="1:7" x14ac:dyDescent="0.45">
      <c r="A21">
        <v>20</v>
      </c>
      <c r="B21" t="s">
        <v>10</v>
      </c>
      <c r="C21">
        <v>30</v>
      </c>
      <c r="D21">
        <v>12.27</v>
      </c>
      <c r="E21" t="s">
        <v>7</v>
      </c>
      <c r="F21">
        <v>3</v>
      </c>
      <c r="G21" t="str">
        <f>VLOOKUP(getslopes[[#This Row],[Column1.projectId]],projects[],2,FALSE)</f>
        <v>Barrier Guard</v>
      </c>
    </row>
    <row r="22" spans="1:7" x14ac:dyDescent="0.45">
      <c r="A22">
        <v>21</v>
      </c>
      <c r="B22" t="s">
        <v>11</v>
      </c>
      <c r="C22">
        <v>30</v>
      </c>
      <c r="D22">
        <v>11.57</v>
      </c>
      <c r="E22" t="s">
        <v>7</v>
      </c>
      <c r="F22">
        <v>3</v>
      </c>
      <c r="G22" t="str">
        <f>VLOOKUP(getslopes[[#This Row],[Column1.projectId]],projects[],2,FALSE)</f>
        <v>Barrier Guard</v>
      </c>
    </row>
    <row r="23" spans="1:7" x14ac:dyDescent="0.45">
      <c r="A23">
        <v>22</v>
      </c>
      <c r="B23" t="s">
        <v>12</v>
      </c>
      <c r="C23">
        <v>30</v>
      </c>
      <c r="D23">
        <v>11.15</v>
      </c>
      <c r="E23" t="s">
        <v>7</v>
      </c>
      <c r="F23">
        <v>3</v>
      </c>
      <c r="G23" t="str">
        <f>VLOOKUP(getslopes[[#This Row],[Column1.projectId]],projects[],2,FALSE)</f>
        <v>Barrier Guard</v>
      </c>
    </row>
    <row r="24" spans="1:7" x14ac:dyDescent="0.45">
      <c r="A24">
        <v>23</v>
      </c>
      <c r="B24" t="s">
        <v>13</v>
      </c>
      <c r="C24">
        <v>0</v>
      </c>
      <c r="D24">
        <v>10</v>
      </c>
      <c r="E24" t="s">
        <v>7</v>
      </c>
      <c r="F24">
        <v>3</v>
      </c>
      <c r="G24" t="str">
        <f>VLOOKUP(getslopes[[#This Row],[Column1.projectId]],projects[],2,FALSE)</f>
        <v>Barrier Guard</v>
      </c>
    </row>
    <row r="25" spans="1:7" x14ac:dyDescent="0.45">
      <c r="A25">
        <v>24</v>
      </c>
      <c r="B25" t="s">
        <v>14</v>
      </c>
      <c r="C25">
        <v>6</v>
      </c>
      <c r="D25">
        <v>0</v>
      </c>
      <c r="E25" t="s">
        <v>7</v>
      </c>
      <c r="F25">
        <v>3</v>
      </c>
      <c r="G25" t="str">
        <f>VLOOKUP(getslopes[[#This Row],[Column1.projectId]],projects[],2,FALSE)</f>
        <v>Barrier Guard</v>
      </c>
    </row>
    <row r="26" spans="1:7" x14ac:dyDescent="0.45">
      <c r="A26">
        <v>25</v>
      </c>
      <c r="B26" t="s">
        <v>15</v>
      </c>
      <c r="C26">
        <v>0</v>
      </c>
      <c r="D26" s="1">
        <v>15.77</v>
      </c>
      <c r="E26" t="s">
        <v>7</v>
      </c>
      <c r="F26">
        <v>4</v>
      </c>
      <c r="G26" t="str">
        <f>VLOOKUP(getslopes[[#This Row],[Column1.projectId]],projects[],2,FALSE)</f>
        <v>Endurokote</v>
      </c>
    </row>
    <row r="27" spans="1:7" x14ac:dyDescent="0.45">
      <c r="A27">
        <v>26</v>
      </c>
      <c r="B27" t="s">
        <v>8</v>
      </c>
      <c r="C27">
        <v>24</v>
      </c>
      <c r="D27" s="1">
        <v>9.4600000000000009</v>
      </c>
      <c r="E27" t="s">
        <v>7</v>
      </c>
      <c r="F27">
        <v>4</v>
      </c>
      <c r="G27" t="str">
        <f>VLOOKUP(getslopes[[#This Row],[Column1.projectId]],projects[],2,FALSE)</f>
        <v>Endurokote</v>
      </c>
    </row>
    <row r="28" spans="1:7" x14ac:dyDescent="0.45">
      <c r="A28">
        <v>27</v>
      </c>
      <c r="B28" t="s">
        <v>9</v>
      </c>
      <c r="C28">
        <v>24</v>
      </c>
      <c r="D28" s="1">
        <v>9.4600000000000009</v>
      </c>
      <c r="E28" t="s">
        <v>7</v>
      </c>
      <c r="F28">
        <v>4</v>
      </c>
      <c r="G28" t="str">
        <f>VLOOKUP(getslopes[[#This Row],[Column1.projectId]],projects[],2,FALSE)</f>
        <v>Endurokote</v>
      </c>
    </row>
    <row r="29" spans="1:7" x14ac:dyDescent="0.45">
      <c r="A29">
        <v>28</v>
      </c>
      <c r="B29" t="s">
        <v>10</v>
      </c>
      <c r="C29">
        <v>30</v>
      </c>
      <c r="D29" s="1">
        <v>9.4600000000000009</v>
      </c>
      <c r="E29" t="s">
        <v>7</v>
      </c>
      <c r="F29">
        <v>4</v>
      </c>
      <c r="G29" t="str">
        <f>VLOOKUP(getslopes[[#This Row],[Column1.projectId]],projects[],2,FALSE)</f>
        <v>Endurokote</v>
      </c>
    </row>
    <row r="30" spans="1:7" x14ac:dyDescent="0.45">
      <c r="A30">
        <v>29</v>
      </c>
      <c r="B30" t="s">
        <v>11</v>
      </c>
      <c r="C30">
        <v>30</v>
      </c>
      <c r="D30" s="1">
        <v>9.4600000000000009</v>
      </c>
      <c r="E30" t="s">
        <v>7</v>
      </c>
      <c r="F30">
        <v>4</v>
      </c>
      <c r="G30" t="str">
        <f>VLOOKUP(getslopes[[#This Row],[Column1.projectId]],projects[],2,FALSE)</f>
        <v>Endurokote</v>
      </c>
    </row>
    <row r="31" spans="1:7" x14ac:dyDescent="0.45">
      <c r="A31">
        <v>30</v>
      </c>
      <c r="B31" t="s">
        <v>12</v>
      </c>
      <c r="C31">
        <v>30</v>
      </c>
      <c r="D31" s="1">
        <v>9.4600000000000009</v>
      </c>
      <c r="E31" t="s">
        <v>7</v>
      </c>
      <c r="F31">
        <v>4</v>
      </c>
      <c r="G31" t="str">
        <f>VLOOKUP(getslopes[[#This Row],[Column1.projectId]],projects[],2,FALSE)</f>
        <v>Endurokote</v>
      </c>
    </row>
    <row r="32" spans="1:7" x14ac:dyDescent="0.45">
      <c r="A32">
        <v>31</v>
      </c>
      <c r="B32" t="s">
        <v>13</v>
      </c>
      <c r="C32">
        <v>0</v>
      </c>
      <c r="D32">
        <v>10</v>
      </c>
      <c r="E32" t="s">
        <v>7</v>
      </c>
      <c r="F32">
        <v>4</v>
      </c>
      <c r="G32" t="str">
        <f>VLOOKUP(getslopes[[#This Row],[Column1.projectId]],projects[],2,FALSE)</f>
        <v>Endurokote</v>
      </c>
    </row>
    <row r="33" spans="1:7" x14ac:dyDescent="0.45">
      <c r="A33">
        <v>32</v>
      </c>
      <c r="B33" t="s">
        <v>14</v>
      </c>
      <c r="C33">
        <v>6</v>
      </c>
      <c r="D33">
        <v>0</v>
      </c>
      <c r="E33" t="s">
        <v>7</v>
      </c>
      <c r="F33">
        <v>4</v>
      </c>
      <c r="G33" t="str">
        <f>VLOOKUP(getslopes[[#This Row],[Column1.projectId]],projects[],2,FALSE)</f>
        <v>Endurokote</v>
      </c>
    </row>
    <row r="34" spans="1:7" x14ac:dyDescent="0.45">
      <c r="A34">
        <v>33</v>
      </c>
      <c r="B34" t="s">
        <v>15</v>
      </c>
      <c r="C34">
        <v>0</v>
      </c>
      <c r="D34">
        <v>20.49</v>
      </c>
      <c r="E34" t="s">
        <v>7</v>
      </c>
      <c r="F34">
        <v>18</v>
      </c>
      <c r="G34" t="str">
        <f>VLOOKUP(getslopes[[#This Row],[Column1.projectId]],projects[],2,FALSE)</f>
        <v>Reseal all systems</v>
      </c>
    </row>
    <row r="35" spans="1:7" x14ac:dyDescent="0.45">
      <c r="A35">
        <v>34</v>
      </c>
      <c r="B35" t="s">
        <v>8</v>
      </c>
      <c r="C35">
        <v>24</v>
      </c>
      <c r="D35" s="1">
        <v>17.89</v>
      </c>
      <c r="E35" t="s">
        <v>7</v>
      </c>
      <c r="F35">
        <v>18</v>
      </c>
      <c r="G35" t="str">
        <f>VLOOKUP(getslopes[[#This Row],[Column1.projectId]],projects[],2,FALSE)</f>
        <v>Reseal all systems</v>
      </c>
    </row>
    <row r="36" spans="1:7" x14ac:dyDescent="0.45">
      <c r="A36">
        <v>35</v>
      </c>
      <c r="B36" t="s">
        <v>9</v>
      </c>
      <c r="C36">
        <v>24</v>
      </c>
      <c r="D36" s="1">
        <v>13.68</v>
      </c>
      <c r="E36" t="s">
        <v>7</v>
      </c>
      <c r="F36">
        <v>18</v>
      </c>
      <c r="G36" t="str">
        <f>VLOOKUP(getslopes[[#This Row],[Column1.projectId]],projects[],2,FALSE)</f>
        <v>Reseal all systems</v>
      </c>
    </row>
    <row r="37" spans="1:7" x14ac:dyDescent="0.45">
      <c r="A37">
        <v>36</v>
      </c>
      <c r="B37" t="s">
        <v>10</v>
      </c>
      <c r="C37">
        <v>30</v>
      </c>
      <c r="D37" s="1">
        <v>12.27</v>
      </c>
      <c r="E37" t="s">
        <v>7</v>
      </c>
      <c r="F37">
        <v>18</v>
      </c>
      <c r="G37" t="str">
        <f>VLOOKUP(getslopes[[#This Row],[Column1.projectId]],projects[],2,FALSE)</f>
        <v>Reseal all systems</v>
      </c>
    </row>
    <row r="38" spans="1:7" x14ac:dyDescent="0.45">
      <c r="A38">
        <v>37</v>
      </c>
      <c r="B38" t="s">
        <v>11</v>
      </c>
      <c r="C38">
        <v>30</v>
      </c>
      <c r="D38" s="1">
        <v>11.57</v>
      </c>
      <c r="E38" t="s">
        <v>7</v>
      </c>
      <c r="F38">
        <v>18</v>
      </c>
      <c r="G38" t="str">
        <f>VLOOKUP(getslopes[[#This Row],[Column1.projectId]],projects[],2,FALSE)</f>
        <v>Reseal all systems</v>
      </c>
    </row>
    <row r="39" spans="1:7" x14ac:dyDescent="0.45">
      <c r="A39">
        <v>38</v>
      </c>
      <c r="B39" t="s">
        <v>12</v>
      </c>
      <c r="C39">
        <v>30</v>
      </c>
      <c r="D39" s="1">
        <v>11.15</v>
      </c>
      <c r="E39" t="s">
        <v>7</v>
      </c>
      <c r="F39">
        <v>18</v>
      </c>
      <c r="G39" t="str">
        <f>VLOOKUP(getslopes[[#This Row],[Column1.projectId]],projects[],2,FALSE)</f>
        <v>Reseal all systems</v>
      </c>
    </row>
    <row r="40" spans="1:7" x14ac:dyDescent="0.45">
      <c r="A40">
        <v>39</v>
      </c>
      <c r="B40" t="s">
        <v>13</v>
      </c>
      <c r="C40">
        <v>0</v>
      </c>
      <c r="D40">
        <v>10</v>
      </c>
      <c r="E40" t="s">
        <v>7</v>
      </c>
      <c r="F40">
        <v>18</v>
      </c>
      <c r="G40" t="str">
        <f>VLOOKUP(getslopes[[#This Row],[Column1.projectId]],projects[],2,FALSE)</f>
        <v>Reseal all systems</v>
      </c>
    </row>
    <row r="41" spans="1:7" x14ac:dyDescent="0.45">
      <c r="A41">
        <v>40</v>
      </c>
      <c r="B41" t="s">
        <v>14</v>
      </c>
      <c r="C41">
        <v>6</v>
      </c>
      <c r="D41">
        <v>0</v>
      </c>
      <c r="E41" t="s">
        <v>7</v>
      </c>
      <c r="F41">
        <v>18</v>
      </c>
      <c r="G41" t="str">
        <f>VLOOKUP(getslopes[[#This Row],[Column1.projectId]],projects[],2,FALSE)</f>
        <v>Reseal all systems</v>
      </c>
    </row>
    <row r="42" spans="1:7" x14ac:dyDescent="0.45">
      <c r="A42">
        <v>41</v>
      </c>
      <c r="B42" t="s">
        <v>15</v>
      </c>
      <c r="C42">
        <v>0</v>
      </c>
      <c r="D42">
        <v>20.49</v>
      </c>
      <c r="E42" t="s">
        <v>7</v>
      </c>
      <c r="F42">
        <v>15</v>
      </c>
      <c r="G42" t="str">
        <f>VLOOKUP(getslopes[[#This Row],[Column1.projectId]],projects[],2,FALSE)</f>
        <v>Color Wash Reseal</v>
      </c>
    </row>
    <row r="43" spans="1:7" x14ac:dyDescent="0.45">
      <c r="A43">
        <v>42</v>
      </c>
      <c r="B43" t="s">
        <v>8</v>
      </c>
      <c r="C43">
        <v>24</v>
      </c>
      <c r="D43" s="1">
        <v>20.49</v>
      </c>
      <c r="E43" t="s">
        <v>7</v>
      </c>
      <c r="F43">
        <v>15</v>
      </c>
      <c r="G43" t="str">
        <f>VLOOKUP(getslopes[[#This Row],[Column1.projectId]],projects[],2,FALSE)</f>
        <v>Color Wash Reseal</v>
      </c>
    </row>
    <row r="44" spans="1:7" x14ac:dyDescent="0.45">
      <c r="A44">
        <v>43</v>
      </c>
      <c r="B44" t="s">
        <v>9</v>
      </c>
      <c r="C44">
        <v>24</v>
      </c>
      <c r="D44" s="1">
        <v>20.49</v>
      </c>
      <c r="E44" t="s">
        <v>7</v>
      </c>
      <c r="F44">
        <v>15</v>
      </c>
      <c r="G44" t="str">
        <f>VLOOKUP(getslopes[[#This Row],[Column1.projectId]],projects[],2,FALSE)</f>
        <v>Color Wash Reseal</v>
      </c>
    </row>
    <row r="45" spans="1:7" x14ac:dyDescent="0.45">
      <c r="A45">
        <v>44</v>
      </c>
      <c r="B45" t="s">
        <v>10</v>
      </c>
      <c r="C45">
        <v>30</v>
      </c>
      <c r="D45" s="1">
        <v>20.49</v>
      </c>
      <c r="E45" t="s">
        <v>7</v>
      </c>
      <c r="F45">
        <v>15</v>
      </c>
      <c r="G45" t="str">
        <f>VLOOKUP(getslopes[[#This Row],[Column1.projectId]],projects[],2,FALSE)</f>
        <v>Color Wash Reseal</v>
      </c>
    </row>
    <row r="46" spans="1:7" x14ac:dyDescent="0.45">
      <c r="A46">
        <v>45</v>
      </c>
      <c r="B46" t="s">
        <v>11</v>
      </c>
      <c r="C46">
        <v>30</v>
      </c>
      <c r="D46" s="1">
        <v>20.49</v>
      </c>
      <c r="E46" t="s">
        <v>7</v>
      </c>
      <c r="F46">
        <v>15</v>
      </c>
      <c r="G46" t="str">
        <f>VLOOKUP(getslopes[[#This Row],[Column1.projectId]],projects[],2,FALSE)</f>
        <v>Color Wash Reseal</v>
      </c>
    </row>
    <row r="47" spans="1:7" x14ac:dyDescent="0.45">
      <c r="A47">
        <v>46</v>
      </c>
      <c r="B47" t="s">
        <v>12</v>
      </c>
      <c r="C47">
        <v>30</v>
      </c>
      <c r="D47" s="1">
        <v>20.49</v>
      </c>
      <c r="E47" t="s">
        <v>7</v>
      </c>
      <c r="F47">
        <v>15</v>
      </c>
      <c r="G47" t="str">
        <f>VLOOKUP(getslopes[[#This Row],[Column1.projectId]],projects[],2,FALSE)</f>
        <v>Color Wash Reseal</v>
      </c>
    </row>
    <row r="48" spans="1:7" x14ac:dyDescent="0.45">
      <c r="A48">
        <v>47</v>
      </c>
      <c r="B48" t="s">
        <v>13</v>
      </c>
      <c r="C48">
        <v>0</v>
      </c>
      <c r="D48">
        <v>10</v>
      </c>
      <c r="E48" t="s">
        <v>7</v>
      </c>
      <c r="F48">
        <v>15</v>
      </c>
      <c r="G48" t="str">
        <f>VLOOKUP(getslopes[[#This Row],[Column1.projectId]],projects[],2,FALSE)</f>
        <v>Color Wash Reseal</v>
      </c>
    </row>
    <row r="49" spans="1:7" x14ac:dyDescent="0.45">
      <c r="A49">
        <v>48</v>
      </c>
      <c r="B49" t="s">
        <v>14</v>
      </c>
      <c r="C49">
        <v>6</v>
      </c>
      <c r="D49">
        <v>0</v>
      </c>
      <c r="E49" t="s">
        <v>7</v>
      </c>
      <c r="F49">
        <v>15</v>
      </c>
      <c r="G49" t="str">
        <f>VLOOKUP(getslopes[[#This Row],[Column1.projectId]],projects[],2,FALSE)</f>
        <v>Color Wash Reseal</v>
      </c>
    </row>
    <row r="50" spans="1:7" x14ac:dyDescent="0.45">
      <c r="A50">
        <v>49</v>
      </c>
      <c r="B50" t="s">
        <v>15</v>
      </c>
      <c r="C50">
        <v>0</v>
      </c>
      <c r="D50">
        <v>24.34</v>
      </c>
      <c r="E50" t="s">
        <v>7</v>
      </c>
      <c r="F50">
        <v>5</v>
      </c>
      <c r="G50" t="str">
        <f>VLOOKUP(getslopes[[#This Row],[Column1.projectId]],projects[],2,FALSE)</f>
        <v>Desert Crete</v>
      </c>
    </row>
    <row r="51" spans="1:7" x14ac:dyDescent="0.45">
      <c r="A51">
        <v>50</v>
      </c>
      <c r="B51" t="s">
        <v>8</v>
      </c>
      <c r="C51">
        <v>24</v>
      </c>
      <c r="D51" s="1">
        <v>9.4600000000000009</v>
      </c>
      <c r="E51" t="s">
        <v>7</v>
      </c>
      <c r="F51">
        <v>5</v>
      </c>
      <c r="G51" t="str">
        <f>VLOOKUP(getslopes[[#This Row],[Column1.projectId]],projects[],2,FALSE)</f>
        <v>Desert Crete</v>
      </c>
    </row>
    <row r="52" spans="1:7" x14ac:dyDescent="0.45">
      <c r="A52">
        <v>51</v>
      </c>
      <c r="B52" t="s">
        <v>9</v>
      </c>
      <c r="C52">
        <v>24</v>
      </c>
      <c r="D52" s="1">
        <v>9.4600000000000009</v>
      </c>
      <c r="E52" t="s">
        <v>7</v>
      </c>
      <c r="F52">
        <v>5</v>
      </c>
      <c r="G52" t="str">
        <f>VLOOKUP(getslopes[[#This Row],[Column1.projectId]],projects[],2,FALSE)</f>
        <v>Desert Crete</v>
      </c>
    </row>
    <row r="53" spans="1:7" x14ac:dyDescent="0.45">
      <c r="A53">
        <v>52</v>
      </c>
      <c r="B53" t="s">
        <v>10</v>
      </c>
      <c r="C53">
        <v>24</v>
      </c>
      <c r="D53" s="1">
        <v>9.4600000000000009</v>
      </c>
      <c r="E53" t="s">
        <v>7</v>
      </c>
      <c r="F53">
        <v>5</v>
      </c>
      <c r="G53" t="str">
        <f>VLOOKUP(getslopes[[#This Row],[Column1.projectId]],projects[],2,FALSE)</f>
        <v>Desert Crete</v>
      </c>
    </row>
    <row r="54" spans="1:7" x14ac:dyDescent="0.45">
      <c r="A54">
        <v>53</v>
      </c>
      <c r="B54" t="s">
        <v>11</v>
      </c>
      <c r="C54">
        <v>24</v>
      </c>
      <c r="D54" s="1">
        <v>9.4600000000000009</v>
      </c>
      <c r="E54" t="s">
        <v>7</v>
      </c>
      <c r="F54">
        <v>5</v>
      </c>
      <c r="G54" t="str">
        <f>VLOOKUP(getslopes[[#This Row],[Column1.projectId]],projects[],2,FALSE)</f>
        <v>Desert Crete</v>
      </c>
    </row>
    <row r="55" spans="1:7" x14ac:dyDescent="0.45">
      <c r="A55">
        <v>54</v>
      </c>
      <c r="B55" t="s">
        <v>12</v>
      </c>
      <c r="C55">
        <v>24</v>
      </c>
      <c r="D55" s="1">
        <v>9.4600000000000009</v>
      </c>
      <c r="E55" t="s">
        <v>7</v>
      </c>
      <c r="F55">
        <v>5</v>
      </c>
      <c r="G55" t="str">
        <f>VLOOKUP(getslopes[[#This Row],[Column1.projectId]],projects[],2,FALSE)</f>
        <v>Desert Crete</v>
      </c>
    </row>
    <row r="56" spans="1:7" x14ac:dyDescent="0.45">
      <c r="A56">
        <v>55</v>
      </c>
      <c r="B56" t="s">
        <v>13</v>
      </c>
      <c r="C56">
        <v>0</v>
      </c>
      <c r="D56">
        <v>10</v>
      </c>
      <c r="E56" t="s">
        <v>7</v>
      </c>
      <c r="F56">
        <v>5</v>
      </c>
      <c r="G56" t="str">
        <f>VLOOKUP(getslopes[[#This Row],[Column1.projectId]],projects[],2,FALSE)</f>
        <v>Desert Crete</v>
      </c>
    </row>
    <row r="57" spans="1:7" x14ac:dyDescent="0.45">
      <c r="A57">
        <v>56</v>
      </c>
      <c r="B57" t="s">
        <v>14</v>
      </c>
      <c r="C57">
        <v>6</v>
      </c>
      <c r="D57">
        <v>0</v>
      </c>
      <c r="E57" t="s">
        <v>7</v>
      </c>
      <c r="F57">
        <v>5</v>
      </c>
      <c r="G57" t="str">
        <f>VLOOKUP(getslopes[[#This Row],[Column1.projectId]],projects[],2,FALSE)</f>
        <v>Desert Crete</v>
      </c>
    </row>
    <row r="58" spans="1:7" x14ac:dyDescent="0.45">
      <c r="A58">
        <v>57</v>
      </c>
      <c r="B58" t="s">
        <v>15</v>
      </c>
      <c r="C58">
        <v>0</v>
      </c>
      <c r="D58">
        <v>139.1</v>
      </c>
      <c r="E58" t="s">
        <v>7</v>
      </c>
      <c r="F58">
        <v>12</v>
      </c>
      <c r="G58" t="str">
        <f>VLOOKUP(getslopes[[#This Row],[Column1.projectId]],projects[],2,FALSE)</f>
        <v>Pedestrian System</v>
      </c>
    </row>
    <row r="59" spans="1:7" x14ac:dyDescent="0.45">
      <c r="A59">
        <v>58</v>
      </c>
      <c r="B59" t="s">
        <v>8</v>
      </c>
      <c r="C59">
        <v>20</v>
      </c>
      <c r="D59" s="1">
        <v>60.04</v>
      </c>
      <c r="E59" t="s">
        <v>7</v>
      </c>
      <c r="F59">
        <v>12</v>
      </c>
      <c r="G59" t="str">
        <f>VLOOKUP(getslopes[[#This Row],[Column1.projectId]],projects[],2,FALSE)</f>
        <v>Pedestrian System</v>
      </c>
    </row>
    <row r="60" spans="1:7" x14ac:dyDescent="0.45">
      <c r="A60">
        <v>59</v>
      </c>
      <c r="B60" t="s">
        <v>9</v>
      </c>
      <c r="C60">
        <v>20</v>
      </c>
      <c r="D60" s="1">
        <v>43.14</v>
      </c>
      <c r="E60" t="s">
        <v>7</v>
      </c>
      <c r="F60">
        <v>12</v>
      </c>
      <c r="G60" t="str">
        <f>VLOOKUP(getslopes[[#This Row],[Column1.projectId]],projects[],2,FALSE)</f>
        <v>Pedestrian System</v>
      </c>
    </row>
    <row r="61" spans="1:7" x14ac:dyDescent="0.45">
      <c r="A61">
        <v>60</v>
      </c>
      <c r="B61" t="s">
        <v>10</v>
      </c>
      <c r="C61">
        <v>22</v>
      </c>
      <c r="D61" s="1">
        <v>37.42</v>
      </c>
      <c r="E61" t="s">
        <v>7</v>
      </c>
      <c r="F61">
        <v>12</v>
      </c>
      <c r="G61" t="str">
        <f>VLOOKUP(getslopes[[#This Row],[Column1.projectId]],projects[],2,FALSE)</f>
        <v>Pedestrian System</v>
      </c>
    </row>
    <row r="62" spans="1:7" x14ac:dyDescent="0.45">
      <c r="A62">
        <v>61</v>
      </c>
      <c r="B62" t="s">
        <v>11</v>
      </c>
      <c r="C62">
        <v>22</v>
      </c>
      <c r="D62" s="1">
        <v>34.68</v>
      </c>
      <c r="E62" t="s">
        <v>7</v>
      </c>
      <c r="F62">
        <v>12</v>
      </c>
      <c r="G62" t="str">
        <f>VLOOKUP(getslopes[[#This Row],[Column1.projectId]],projects[],2,FALSE)</f>
        <v>Pedestrian System</v>
      </c>
    </row>
    <row r="63" spans="1:7" x14ac:dyDescent="0.45">
      <c r="A63">
        <v>62</v>
      </c>
      <c r="B63" t="s">
        <v>12</v>
      </c>
      <c r="C63">
        <v>22</v>
      </c>
      <c r="D63" s="1">
        <v>32.380000000000003</v>
      </c>
      <c r="E63" t="s">
        <v>7</v>
      </c>
      <c r="F63">
        <v>12</v>
      </c>
      <c r="G63" t="str">
        <f>VLOOKUP(getslopes[[#This Row],[Column1.projectId]],projects[],2,FALSE)</f>
        <v>Pedestrian System</v>
      </c>
    </row>
    <row r="64" spans="1:7" x14ac:dyDescent="0.45">
      <c r="A64">
        <v>63</v>
      </c>
      <c r="B64" t="s">
        <v>13</v>
      </c>
      <c r="C64">
        <v>0</v>
      </c>
      <c r="D64">
        <v>10</v>
      </c>
      <c r="E64" t="s">
        <v>7</v>
      </c>
      <c r="F64">
        <v>12</v>
      </c>
      <c r="G64" t="str">
        <f>VLOOKUP(getslopes[[#This Row],[Column1.projectId]],projects[],2,FALSE)</f>
        <v>Pedestrian System</v>
      </c>
    </row>
    <row r="65" spans="1:7" x14ac:dyDescent="0.45">
      <c r="A65">
        <v>64</v>
      </c>
      <c r="B65" t="s">
        <v>14</v>
      </c>
      <c r="C65">
        <v>6</v>
      </c>
      <c r="D65">
        <v>0</v>
      </c>
      <c r="E65" t="s">
        <v>7</v>
      </c>
      <c r="F65">
        <v>12</v>
      </c>
      <c r="G65" t="str">
        <f>VLOOKUP(getslopes[[#This Row],[Column1.projectId]],projects[],2,FALSE)</f>
        <v>Pedestrian System</v>
      </c>
    </row>
    <row r="66" spans="1:7" x14ac:dyDescent="0.45">
      <c r="A66">
        <v>65</v>
      </c>
      <c r="B66" t="s">
        <v>15</v>
      </c>
      <c r="C66">
        <v>0</v>
      </c>
      <c r="D66">
        <v>144.1</v>
      </c>
      <c r="E66" t="s">
        <v>16</v>
      </c>
      <c r="F66">
        <v>12</v>
      </c>
      <c r="G66" t="str">
        <f>VLOOKUP(getslopes[[#This Row],[Column1.projectId]],projects[],2,FALSE)</f>
        <v>Pedestrian System</v>
      </c>
    </row>
    <row r="67" spans="1:7" x14ac:dyDescent="0.45">
      <c r="A67">
        <v>66</v>
      </c>
      <c r="B67" t="s">
        <v>8</v>
      </c>
      <c r="C67">
        <v>14.4</v>
      </c>
      <c r="D67">
        <v>147.66999999999999</v>
      </c>
      <c r="E67" t="s">
        <v>16</v>
      </c>
      <c r="F67">
        <v>12</v>
      </c>
      <c r="G67" t="str">
        <f>VLOOKUP(getslopes[[#This Row],[Column1.projectId]],projects[],2,FALSE)</f>
        <v>Pedestrian System</v>
      </c>
    </row>
    <row r="68" spans="1:7" x14ac:dyDescent="0.45">
      <c r="A68">
        <v>67</v>
      </c>
      <c r="B68" t="s">
        <v>9</v>
      </c>
      <c r="C68">
        <v>14.4</v>
      </c>
      <c r="D68">
        <v>147.66999999999999</v>
      </c>
      <c r="E68" t="s">
        <v>16</v>
      </c>
      <c r="F68">
        <v>12</v>
      </c>
      <c r="G68" t="str">
        <f>VLOOKUP(getslopes[[#This Row],[Column1.projectId]],projects[],2,FALSE)</f>
        <v>Pedestrian System</v>
      </c>
    </row>
    <row r="69" spans="1:7" x14ac:dyDescent="0.45">
      <c r="A69">
        <v>68</v>
      </c>
      <c r="B69" t="s">
        <v>10</v>
      </c>
      <c r="C69">
        <v>14.4</v>
      </c>
      <c r="D69">
        <v>147.66999999999999</v>
      </c>
      <c r="E69" t="s">
        <v>16</v>
      </c>
      <c r="F69">
        <v>12</v>
      </c>
      <c r="G69" t="str">
        <f>VLOOKUP(getslopes[[#This Row],[Column1.projectId]],projects[],2,FALSE)</f>
        <v>Pedestrian System</v>
      </c>
    </row>
    <row r="70" spans="1:7" x14ac:dyDescent="0.45">
      <c r="A70">
        <v>69</v>
      </c>
      <c r="B70" t="s">
        <v>11</v>
      </c>
      <c r="C70">
        <v>14.4</v>
      </c>
      <c r="D70">
        <v>147.66999999999999</v>
      </c>
      <c r="E70" t="s">
        <v>16</v>
      </c>
      <c r="F70">
        <v>12</v>
      </c>
      <c r="G70" t="str">
        <f>VLOOKUP(getslopes[[#This Row],[Column1.projectId]],projects[],2,FALSE)</f>
        <v>Pedestrian System</v>
      </c>
    </row>
    <row r="71" spans="1:7" x14ac:dyDescent="0.45">
      <c r="A71">
        <v>70</v>
      </c>
      <c r="B71" t="s">
        <v>12</v>
      </c>
      <c r="C71">
        <v>14.4</v>
      </c>
      <c r="D71">
        <v>147.66999999999999</v>
      </c>
      <c r="E71" t="s">
        <v>16</v>
      </c>
      <c r="F71">
        <v>12</v>
      </c>
      <c r="G71" t="str">
        <f>VLOOKUP(getslopes[[#This Row],[Column1.projectId]],projects[],2,FALSE)</f>
        <v>Pedestrian System</v>
      </c>
    </row>
    <row r="72" spans="1:7" x14ac:dyDescent="0.45">
      <c r="A72">
        <v>71</v>
      </c>
      <c r="B72" t="s">
        <v>13</v>
      </c>
      <c r="C72">
        <v>0</v>
      </c>
      <c r="D72">
        <v>10</v>
      </c>
      <c r="E72" t="s">
        <v>16</v>
      </c>
      <c r="F72">
        <v>12</v>
      </c>
      <c r="G72" t="str">
        <f>VLOOKUP(getslopes[[#This Row],[Column1.projectId]],projects[],2,FALSE)</f>
        <v>Pedestrian System</v>
      </c>
    </row>
    <row r="73" spans="1:7" x14ac:dyDescent="0.45">
      <c r="A73">
        <v>72</v>
      </c>
      <c r="B73" t="s">
        <v>14</v>
      </c>
      <c r="C73">
        <v>6</v>
      </c>
      <c r="D73">
        <v>0</v>
      </c>
      <c r="E73" t="s">
        <v>16</v>
      </c>
      <c r="F73">
        <v>12</v>
      </c>
      <c r="G73" t="str">
        <f>VLOOKUP(getslopes[[#This Row],[Column1.projectId]],projects[],2,FALSE)</f>
        <v>Pedestrian System</v>
      </c>
    </row>
    <row r="74" spans="1:7" x14ac:dyDescent="0.45">
      <c r="A74">
        <v>73</v>
      </c>
      <c r="B74" t="s">
        <v>15</v>
      </c>
      <c r="C74">
        <v>0</v>
      </c>
      <c r="D74">
        <v>139.1</v>
      </c>
      <c r="E74" t="s">
        <v>7</v>
      </c>
      <c r="F74">
        <v>13</v>
      </c>
      <c r="G74" t="str">
        <f>VLOOKUP(getslopes[[#This Row],[Column1.projectId]],projects[],2,FALSE)</f>
        <v>Parking Garage</v>
      </c>
    </row>
    <row r="75" spans="1:7" x14ac:dyDescent="0.45">
      <c r="A75">
        <v>74</v>
      </c>
      <c r="B75" t="s">
        <v>8</v>
      </c>
      <c r="C75">
        <v>20</v>
      </c>
      <c r="D75" s="1">
        <v>60.04</v>
      </c>
      <c r="E75" t="s">
        <v>7</v>
      </c>
      <c r="F75">
        <v>13</v>
      </c>
      <c r="G75" t="str">
        <f>VLOOKUP(getslopes[[#This Row],[Column1.projectId]],projects[],2,FALSE)</f>
        <v>Parking Garage</v>
      </c>
    </row>
    <row r="76" spans="1:7" x14ac:dyDescent="0.45">
      <c r="A76">
        <v>75</v>
      </c>
      <c r="B76" t="s">
        <v>9</v>
      </c>
      <c r="C76">
        <v>20</v>
      </c>
      <c r="D76" s="1">
        <v>43.14</v>
      </c>
      <c r="E76" t="s">
        <v>7</v>
      </c>
      <c r="F76">
        <v>13</v>
      </c>
      <c r="G76" t="str">
        <f>VLOOKUP(getslopes[[#This Row],[Column1.projectId]],projects[],2,FALSE)</f>
        <v>Parking Garage</v>
      </c>
    </row>
    <row r="77" spans="1:7" x14ac:dyDescent="0.45">
      <c r="A77">
        <v>76</v>
      </c>
      <c r="B77" t="s">
        <v>10</v>
      </c>
      <c r="C77">
        <v>22</v>
      </c>
      <c r="D77" s="1">
        <v>37.42</v>
      </c>
      <c r="E77" t="s">
        <v>7</v>
      </c>
      <c r="F77">
        <v>13</v>
      </c>
      <c r="G77" t="str">
        <f>VLOOKUP(getslopes[[#This Row],[Column1.projectId]],projects[],2,FALSE)</f>
        <v>Parking Garage</v>
      </c>
    </row>
    <row r="78" spans="1:7" x14ac:dyDescent="0.45">
      <c r="A78">
        <v>77</v>
      </c>
      <c r="B78" t="s">
        <v>11</v>
      </c>
      <c r="C78">
        <v>22</v>
      </c>
      <c r="D78" s="1">
        <v>34.68</v>
      </c>
      <c r="E78" t="s">
        <v>7</v>
      </c>
      <c r="F78">
        <v>13</v>
      </c>
      <c r="G78" t="str">
        <f>VLOOKUP(getslopes[[#This Row],[Column1.projectId]],projects[],2,FALSE)</f>
        <v>Parking Garage</v>
      </c>
    </row>
    <row r="79" spans="1:7" x14ac:dyDescent="0.45">
      <c r="A79">
        <v>78</v>
      </c>
      <c r="B79" t="s">
        <v>12</v>
      </c>
      <c r="C79">
        <v>22</v>
      </c>
      <c r="D79" s="1">
        <v>32.380000000000003</v>
      </c>
      <c r="E79" t="s">
        <v>7</v>
      </c>
      <c r="F79">
        <v>13</v>
      </c>
      <c r="G79" t="str">
        <f>VLOOKUP(getslopes[[#This Row],[Column1.projectId]],projects[],2,FALSE)</f>
        <v>Parking Garage</v>
      </c>
    </row>
    <row r="80" spans="1:7" x14ac:dyDescent="0.45">
      <c r="A80">
        <v>79</v>
      </c>
      <c r="B80" t="s">
        <v>13</v>
      </c>
      <c r="C80">
        <v>0</v>
      </c>
      <c r="D80">
        <v>10</v>
      </c>
      <c r="E80" t="s">
        <v>7</v>
      </c>
      <c r="F80">
        <v>13</v>
      </c>
      <c r="G80" t="str">
        <f>VLOOKUP(getslopes[[#This Row],[Column1.projectId]],projects[],2,FALSE)</f>
        <v>Parking Garage</v>
      </c>
    </row>
    <row r="81" spans="1:7" x14ac:dyDescent="0.45">
      <c r="A81">
        <v>80</v>
      </c>
      <c r="B81" t="s">
        <v>14</v>
      </c>
      <c r="C81">
        <v>6</v>
      </c>
      <c r="D81">
        <v>0</v>
      </c>
      <c r="E81" t="s">
        <v>7</v>
      </c>
      <c r="F81">
        <v>13</v>
      </c>
      <c r="G81" t="str">
        <f>VLOOKUP(getslopes[[#This Row],[Column1.projectId]],projects[],2,FALSE)</f>
        <v>Parking Garage</v>
      </c>
    </row>
    <row r="82" spans="1:7" x14ac:dyDescent="0.45">
      <c r="A82">
        <v>81</v>
      </c>
      <c r="B82" t="s">
        <v>15</v>
      </c>
      <c r="C82">
        <v>0</v>
      </c>
      <c r="D82">
        <v>144.1</v>
      </c>
      <c r="E82" t="s">
        <v>16</v>
      </c>
      <c r="F82">
        <v>13</v>
      </c>
      <c r="G82" t="str">
        <f>VLOOKUP(getslopes[[#This Row],[Column1.projectId]],projects[],2,FALSE)</f>
        <v>Parking Garage</v>
      </c>
    </row>
    <row r="83" spans="1:7" x14ac:dyDescent="0.45">
      <c r="A83">
        <v>82</v>
      </c>
      <c r="B83" t="s">
        <v>8</v>
      </c>
      <c r="C83">
        <v>14.4</v>
      </c>
      <c r="D83">
        <v>147.66999999999999</v>
      </c>
      <c r="E83" t="s">
        <v>16</v>
      </c>
      <c r="F83">
        <v>13</v>
      </c>
      <c r="G83" t="str">
        <f>VLOOKUP(getslopes[[#This Row],[Column1.projectId]],projects[],2,FALSE)</f>
        <v>Parking Garage</v>
      </c>
    </row>
    <row r="84" spans="1:7" x14ac:dyDescent="0.45">
      <c r="A84">
        <v>83</v>
      </c>
      <c r="B84" t="s">
        <v>9</v>
      </c>
      <c r="C84">
        <v>14.4</v>
      </c>
      <c r="D84">
        <v>147.66999999999999</v>
      </c>
      <c r="E84" t="s">
        <v>16</v>
      </c>
      <c r="F84">
        <v>13</v>
      </c>
      <c r="G84" t="str">
        <f>VLOOKUP(getslopes[[#This Row],[Column1.projectId]],projects[],2,FALSE)</f>
        <v>Parking Garage</v>
      </c>
    </row>
    <row r="85" spans="1:7" x14ac:dyDescent="0.45">
      <c r="A85">
        <v>84</v>
      </c>
      <c r="B85" t="s">
        <v>10</v>
      </c>
      <c r="C85">
        <v>14.4</v>
      </c>
      <c r="D85">
        <v>147.66999999999999</v>
      </c>
      <c r="E85" t="s">
        <v>16</v>
      </c>
      <c r="F85">
        <v>13</v>
      </c>
      <c r="G85" t="str">
        <f>VLOOKUP(getslopes[[#This Row],[Column1.projectId]],projects[],2,FALSE)</f>
        <v>Parking Garage</v>
      </c>
    </row>
    <row r="86" spans="1:7" x14ac:dyDescent="0.45">
      <c r="A86">
        <v>85</v>
      </c>
      <c r="B86" t="s">
        <v>11</v>
      </c>
      <c r="C86">
        <v>14.4</v>
      </c>
      <c r="D86">
        <v>147.66999999999999</v>
      </c>
      <c r="E86" t="s">
        <v>16</v>
      </c>
      <c r="F86">
        <v>13</v>
      </c>
      <c r="G86" t="str">
        <f>VLOOKUP(getslopes[[#This Row],[Column1.projectId]],projects[],2,FALSE)</f>
        <v>Parking Garage</v>
      </c>
    </row>
    <row r="87" spans="1:7" x14ac:dyDescent="0.45">
      <c r="A87">
        <v>86</v>
      </c>
      <c r="B87" t="s">
        <v>12</v>
      </c>
      <c r="C87">
        <v>14.4</v>
      </c>
      <c r="D87">
        <v>147.66999999999999</v>
      </c>
      <c r="E87" t="s">
        <v>16</v>
      </c>
      <c r="F87">
        <v>13</v>
      </c>
      <c r="G87" t="str">
        <f>VLOOKUP(getslopes[[#This Row],[Column1.projectId]],projects[],2,FALSE)</f>
        <v>Parking Garage</v>
      </c>
    </row>
    <row r="88" spans="1:7" x14ac:dyDescent="0.45">
      <c r="A88">
        <v>87</v>
      </c>
      <c r="B88" t="s">
        <v>13</v>
      </c>
      <c r="C88">
        <v>0</v>
      </c>
      <c r="D88">
        <v>10</v>
      </c>
      <c r="E88" t="s">
        <v>16</v>
      </c>
      <c r="F88">
        <v>13</v>
      </c>
      <c r="G88" t="str">
        <f>VLOOKUP(getslopes[[#This Row],[Column1.projectId]],projects[],2,FALSE)</f>
        <v>Parking Garage</v>
      </c>
    </row>
    <row r="89" spans="1:7" x14ac:dyDescent="0.45">
      <c r="A89">
        <v>88</v>
      </c>
      <c r="B89" t="s">
        <v>14</v>
      </c>
      <c r="C89">
        <v>6</v>
      </c>
      <c r="D89">
        <v>0</v>
      </c>
      <c r="E89" t="s">
        <v>16</v>
      </c>
      <c r="F89">
        <v>13</v>
      </c>
      <c r="G89" t="str">
        <f>VLOOKUP(getslopes[[#This Row],[Column1.projectId]],projects[],2,FALSE)</f>
        <v>Parking Garage</v>
      </c>
    </row>
    <row r="90" spans="1:7" x14ac:dyDescent="0.45">
      <c r="A90">
        <v>89</v>
      </c>
      <c r="B90" t="s">
        <v>15</v>
      </c>
      <c r="C90">
        <v>0</v>
      </c>
      <c r="D90">
        <v>20.49</v>
      </c>
      <c r="E90" t="s">
        <v>7</v>
      </c>
      <c r="F90">
        <v>19</v>
      </c>
      <c r="G90" t="str">
        <f>VLOOKUP(getslopes[[#This Row],[Column1.projectId]],projects[],2,FALSE)</f>
        <v>Resistite</v>
      </c>
    </row>
    <row r="91" spans="1:7" x14ac:dyDescent="0.45">
      <c r="A91">
        <v>90</v>
      </c>
      <c r="B91" t="s">
        <v>8</v>
      </c>
      <c r="C91">
        <v>24</v>
      </c>
      <c r="D91" s="1">
        <v>17.89</v>
      </c>
      <c r="E91" t="s">
        <v>7</v>
      </c>
      <c r="F91">
        <v>19</v>
      </c>
      <c r="G91" t="str">
        <f>VLOOKUP(getslopes[[#This Row],[Column1.projectId]],projects[],2,FALSE)</f>
        <v>Resistite</v>
      </c>
    </row>
    <row r="92" spans="1:7" x14ac:dyDescent="0.45">
      <c r="A92">
        <v>91</v>
      </c>
      <c r="B92" t="s">
        <v>9</v>
      </c>
      <c r="C92">
        <v>24</v>
      </c>
      <c r="D92" s="1">
        <v>13.68</v>
      </c>
      <c r="E92" t="s">
        <v>7</v>
      </c>
      <c r="F92">
        <v>19</v>
      </c>
      <c r="G92" t="str">
        <f>VLOOKUP(getslopes[[#This Row],[Column1.projectId]],projects[],2,FALSE)</f>
        <v>Resistite</v>
      </c>
    </row>
    <row r="93" spans="1:7" x14ac:dyDescent="0.45">
      <c r="A93">
        <v>92</v>
      </c>
      <c r="B93" t="s">
        <v>10</v>
      </c>
      <c r="C93">
        <v>30</v>
      </c>
      <c r="D93" s="1">
        <v>12.27</v>
      </c>
      <c r="E93" t="s">
        <v>7</v>
      </c>
      <c r="F93">
        <v>19</v>
      </c>
      <c r="G93" t="str">
        <f>VLOOKUP(getslopes[[#This Row],[Column1.projectId]],projects[],2,FALSE)</f>
        <v>Resistite</v>
      </c>
    </row>
    <row r="94" spans="1:7" x14ac:dyDescent="0.45">
      <c r="A94">
        <v>93</v>
      </c>
      <c r="B94" t="s">
        <v>11</v>
      </c>
      <c r="C94">
        <v>30</v>
      </c>
      <c r="D94" s="1">
        <v>11.57</v>
      </c>
      <c r="E94" t="s">
        <v>7</v>
      </c>
      <c r="F94">
        <v>19</v>
      </c>
      <c r="G94" t="str">
        <f>VLOOKUP(getslopes[[#This Row],[Column1.projectId]],projects[],2,FALSE)</f>
        <v>Resistite</v>
      </c>
    </row>
    <row r="95" spans="1:7" x14ac:dyDescent="0.45">
      <c r="A95">
        <v>94</v>
      </c>
      <c r="B95" t="s">
        <v>12</v>
      </c>
      <c r="C95">
        <v>30</v>
      </c>
      <c r="D95" s="1">
        <v>11.15</v>
      </c>
      <c r="E95" t="s">
        <v>7</v>
      </c>
      <c r="F95">
        <v>19</v>
      </c>
      <c r="G95" t="str">
        <f>VLOOKUP(getslopes[[#This Row],[Column1.projectId]],projects[],2,FALSE)</f>
        <v>Resistite</v>
      </c>
    </row>
    <row r="96" spans="1:7" x14ac:dyDescent="0.45">
      <c r="A96">
        <v>95</v>
      </c>
      <c r="B96" t="s">
        <v>13</v>
      </c>
      <c r="C96">
        <v>0</v>
      </c>
      <c r="D96">
        <v>10</v>
      </c>
      <c r="E96" t="s">
        <v>7</v>
      </c>
      <c r="F96">
        <v>19</v>
      </c>
      <c r="G96" t="str">
        <f>VLOOKUP(getslopes[[#This Row],[Column1.projectId]],projects[],2,FALSE)</f>
        <v>Resistite</v>
      </c>
    </row>
    <row r="97" spans="1:7" x14ac:dyDescent="0.45">
      <c r="A97">
        <v>96</v>
      </c>
      <c r="B97" t="s">
        <v>14</v>
      </c>
      <c r="C97">
        <v>6</v>
      </c>
      <c r="D97">
        <v>0</v>
      </c>
      <c r="E97" t="s">
        <v>7</v>
      </c>
      <c r="F97">
        <v>19</v>
      </c>
      <c r="G97" t="str">
        <f>VLOOKUP(getslopes[[#This Row],[Column1.projectId]],projects[],2,FALSE)</f>
        <v>Resistite</v>
      </c>
    </row>
    <row r="98" spans="1:7" x14ac:dyDescent="0.45">
      <c r="A98">
        <v>97</v>
      </c>
      <c r="B98" t="s">
        <v>15</v>
      </c>
      <c r="C98">
        <v>0</v>
      </c>
      <c r="D98">
        <v>20.49</v>
      </c>
      <c r="E98" t="s">
        <v>7</v>
      </c>
      <c r="F98">
        <v>17</v>
      </c>
      <c r="G98" t="str">
        <f>VLOOKUP(getslopes[[#This Row],[Column1.projectId]],projects[],2,FALSE)</f>
        <v>MACoat</v>
      </c>
    </row>
    <row r="99" spans="1:7" x14ac:dyDescent="0.45">
      <c r="A99">
        <v>98</v>
      </c>
      <c r="B99" t="s">
        <v>8</v>
      </c>
      <c r="C99">
        <v>24</v>
      </c>
      <c r="D99">
        <v>20.49</v>
      </c>
      <c r="E99" t="s">
        <v>7</v>
      </c>
      <c r="F99">
        <v>17</v>
      </c>
      <c r="G99" t="str">
        <f>VLOOKUP(getslopes[[#This Row],[Column1.projectId]],projects[],2,FALSE)</f>
        <v>MACoat</v>
      </c>
    </row>
    <row r="100" spans="1:7" x14ac:dyDescent="0.45">
      <c r="A100">
        <v>99</v>
      </c>
      <c r="B100" t="s">
        <v>9</v>
      </c>
      <c r="C100">
        <v>24</v>
      </c>
      <c r="D100">
        <v>20.49</v>
      </c>
      <c r="E100" t="s">
        <v>7</v>
      </c>
      <c r="F100">
        <v>17</v>
      </c>
      <c r="G100" t="str">
        <f>VLOOKUP(getslopes[[#This Row],[Column1.projectId]],projects[],2,FALSE)</f>
        <v>MACoat</v>
      </c>
    </row>
    <row r="101" spans="1:7" x14ac:dyDescent="0.45">
      <c r="A101">
        <v>100</v>
      </c>
      <c r="B101" t="s">
        <v>10</v>
      </c>
      <c r="C101">
        <v>30</v>
      </c>
      <c r="D101">
        <v>20.49</v>
      </c>
      <c r="E101" t="s">
        <v>7</v>
      </c>
      <c r="F101">
        <v>17</v>
      </c>
      <c r="G101" t="str">
        <f>VLOOKUP(getslopes[[#This Row],[Column1.projectId]],projects[],2,FALSE)</f>
        <v>MACoat</v>
      </c>
    </row>
    <row r="102" spans="1:7" x14ac:dyDescent="0.45">
      <c r="A102">
        <v>101</v>
      </c>
      <c r="B102" t="s">
        <v>11</v>
      </c>
      <c r="C102">
        <v>30</v>
      </c>
      <c r="D102">
        <v>20.49</v>
      </c>
      <c r="E102" t="s">
        <v>7</v>
      </c>
      <c r="F102">
        <v>17</v>
      </c>
      <c r="G102" t="str">
        <f>VLOOKUP(getslopes[[#This Row],[Column1.projectId]],projects[],2,FALSE)</f>
        <v>MACoat</v>
      </c>
    </row>
    <row r="103" spans="1:7" x14ac:dyDescent="0.45">
      <c r="A103">
        <v>102</v>
      </c>
      <c r="B103" t="s">
        <v>12</v>
      </c>
      <c r="C103">
        <v>30</v>
      </c>
      <c r="D103">
        <v>20.49</v>
      </c>
      <c r="E103" t="s">
        <v>7</v>
      </c>
      <c r="F103">
        <v>17</v>
      </c>
      <c r="G103" t="str">
        <f>VLOOKUP(getslopes[[#This Row],[Column1.projectId]],projects[],2,FALSE)</f>
        <v>MACoat</v>
      </c>
    </row>
    <row r="104" spans="1:7" x14ac:dyDescent="0.45">
      <c r="A104">
        <v>103</v>
      </c>
      <c r="B104" t="s">
        <v>13</v>
      </c>
      <c r="C104">
        <v>0</v>
      </c>
      <c r="D104">
        <v>10</v>
      </c>
      <c r="E104" t="s">
        <v>7</v>
      </c>
      <c r="F104">
        <v>17</v>
      </c>
      <c r="G104" t="str">
        <f>VLOOKUP(getslopes[[#This Row],[Column1.projectId]],projects[],2,FALSE)</f>
        <v>MACoat</v>
      </c>
    </row>
    <row r="105" spans="1:7" x14ac:dyDescent="0.45">
      <c r="A105">
        <v>104</v>
      </c>
      <c r="B105" t="s">
        <v>14</v>
      </c>
      <c r="C105">
        <v>6</v>
      </c>
      <c r="D105">
        <v>0</v>
      </c>
      <c r="E105" t="s">
        <v>7</v>
      </c>
      <c r="F105">
        <v>17</v>
      </c>
      <c r="G105" t="str">
        <f>VLOOKUP(getslopes[[#This Row],[Column1.projectId]],projects[],2,FALSE)</f>
        <v>MACoat</v>
      </c>
    </row>
    <row r="106" spans="1:7" x14ac:dyDescent="0.45">
      <c r="A106">
        <v>105</v>
      </c>
      <c r="B106" t="s">
        <v>15</v>
      </c>
      <c r="C106">
        <v>0</v>
      </c>
      <c r="D106">
        <v>20.49</v>
      </c>
      <c r="E106" t="s">
        <v>7</v>
      </c>
      <c r="F106">
        <v>16</v>
      </c>
      <c r="G106" t="str">
        <f>VLOOKUP(getslopes[[#This Row],[Column1.projectId]],projects[],2,FALSE)</f>
        <v>ALX</v>
      </c>
    </row>
    <row r="107" spans="1:7" x14ac:dyDescent="0.45">
      <c r="A107">
        <v>106</v>
      </c>
      <c r="B107" t="s">
        <v>8</v>
      </c>
      <c r="C107">
        <v>24</v>
      </c>
      <c r="D107">
        <v>20.49</v>
      </c>
      <c r="E107" t="s">
        <v>7</v>
      </c>
      <c r="F107">
        <v>16</v>
      </c>
      <c r="G107" t="str">
        <f>VLOOKUP(getslopes[[#This Row],[Column1.projectId]],projects[],2,FALSE)</f>
        <v>ALX</v>
      </c>
    </row>
    <row r="108" spans="1:7" x14ac:dyDescent="0.45">
      <c r="A108">
        <v>107</v>
      </c>
      <c r="B108" t="s">
        <v>9</v>
      </c>
      <c r="C108">
        <v>24</v>
      </c>
      <c r="D108">
        <v>20.49</v>
      </c>
      <c r="E108" t="s">
        <v>7</v>
      </c>
      <c r="F108">
        <v>16</v>
      </c>
      <c r="G108" t="str">
        <f>VLOOKUP(getslopes[[#This Row],[Column1.projectId]],projects[],2,FALSE)</f>
        <v>ALX</v>
      </c>
    </row>
    <row r="109" spans="1:7" x14ac:dyDescent="0.45">
      <c r="A109">
        <v>108</v>
      </c>
      <c r="B109" t="s">
        <v>10</v>
      </c>
      <c r="C109">
        <v>30</v>
      </c>
      <c r="D109">
        <v>20.49</v>
      </c>
      <c r="E109" t="s">
        <v>7</v>
      </c>
      <c r="F109">
        <v>16</v>
      </c>
      <c r="G109" t="str">
        <f>VLOOKUP(getslopes[[#This Row],[Column1.projectId]],projects[],2,FALSE)</f>
        <v>ALX</v>
      </c>
    </row>
    <row r="110" spans="1:7" x14ac:dyDescent="0.45">
      <c r="A110">
        <v>109</v>
      </c>
      <c r="B110" t="s">
        <v>11</v>
      </c>
      <c r="C110">
        <v>30</v>
      </c>
      <c r="D110">
        <v>20.49</v>
      </c>
      <c r="E110" t="s">
        <v>7</v>
      </c>
      <c r="F110">
        <v>16</v>
      </c>
      <c r="G110" t="str">
        <f>VLOOKUP(getslopes[[#This Row],[Column1.projectId]],projects[],2,FALSE)</f>
        <v>ALX</v>
      </c>
    </row>
    <row r="111" spans="1:7" x14ac:dyDescent="0.45">
      <c r="A111">
        <v>110</v>
      </c>
      <c r="B111" t="s">
        <v>12</v>
      </c>
      <c r="C111">
        <v>30</v>
      </c>
      <c r="D111">
        <v>20.49</v>
      </c>
      <c r="E111" t="s">
        <v>7</v>
      </c>
      <c r="F111">
        <v>16</v>
      </c>
      <c r="G111" t="str">
        <f>VLOOKUP(getslopes[[#This Row],[Column1.projectId]],projects[],2,FALSE)</f>
        <v>ALX</v>
      </c>
    </row>
    <row r="112" spans="1:7" x14ac:dyDescent="0.45">
      <c r="A112">
        <v>111</v>
      </c>
      <c r="B112" t="s">
        <v>13</v>
      </c>
      <c r="C112">
        <v>0</v>
      </c>
      <c r="D112">
        <v>10</v>
      </c>
      <c r="E112" t="s">
        <v>7</v>
      </c>
      <c r="F112">
        <v>16</v>
      </c>
      <c r="G112" t="str">
        <f>VLOOKUP(getslopes[[#This Row],[Column1.projectId]],projects[],2,FALSE)</f>
        <v>ALX</v>
      </c>
    </row>
    <row r="113" spans="1:7" x14ac:dyDescent="0.45">
      <c r="A113">
        <v>112</v>
      </c>
      <c r="B113" t="s">
        <v>14</v>
      </c>
      <c r="C113">
        <v>6</v>
      </c>
      <c r="D113">
        <v>0</v>
      </c>
      <c r="E113" t="s">
        <v>7</v>
      </c>
      <c r="F113">
        <v>16</v>
      </c>
      <c r="G113" t="str">
        <f>VLOOKUP(getslopes[[#This Row],[Column1.projectId]],projects[],2,FALSE)</f>
        <v>ALX</v>
      </c>
    </row>
    <row r="114" spans="1:7" x14ac:dyDescent="0.45">
      <c r="A114">
        <v>113</v>
      </c>
      <c r="B114" t="s">
        <v>15</v>
      </c>
      <c r="C114">
        <v>0</v>
      </c>
      <c r="D114">
        <v>20.49</v>
      </c>
      <c r="E114" t="s">
        <v>7</v>
      </c>
      <c r="F114">
        <v>20</v>
      </c>
      <c r="G114" t="str">
        <f>VLOOKUP(getslopes[[#This Row],[Column1.projectId]],projects[],2,FALSE)</f>
        <v>Multicoat</v>
      </c>
    </row>
    <row r="115" spans="1:7" x14ac:dyDescent="0.45">
      <c r="A115">
        <v>114</v>
      </c>
      <c r="B115" t="s">
        <v>8</v>
      </c>
      <c r="C115">
        <v>24</v>
      </c>
      <c r="D115" s="1">
        <v>17.89</v>
      </c>
      <c r="E115" t="s">
        <v>7</v>
      </c>
      <c r="F115">
        <v>20</v>
      </c>
      <c r="G115" t="str">
        <f>VLOOKUP(getslopes[[#This Row],[Column1.projectId]],projects[],2,FALSE)</f>
        <v>Multicoat</v>
      </c>
    </row>
    <row r="116" spans="1:7" x14ac:dyDescent="0.45">
      <c r="A116">
        <v>115</v>
      </c>
      <c r="B116" t="s">
        <v>9</v>
      </c>
      <c r="C116">
        <v>24</v>
      </c>
      <c r="D116" s="1">
        <v>13.68</v>
      </c>
      <c r="E116" t="s">
        <v>7</v>
      </c>
      <c r="F116">
        <v>20</v>
      </c>
      <c r="G116" t="str">
        <f>VLOOKUP(getslopes[[#This Row],[Column1.projectId]],projects[],2,FALSE)</f>
        <v>Multicoat</v>
      </c>
    </row>
    <row r="117" spans="1:7" x14ac:dyDescent="0.45">
      <c r="A117">
        <v>116</v>
      </c>
      <c r="B117" t="s">
        <v>10</v>
      </c>
      <c r="C117">
        <v>30</v>
      </c>
      <c r="D117" s="1">
        <v>12.27</v>
      </c>
      <c r="E117" t="s">
        <v>7</v>
      </c>
      <c r="F117">
        <v>20</v>
      </c>
      <c r="G117" t="str">
        <f>VLOOKUP(getslopes[[#This Row],[Column1.projectId]],projects[],2,FALSE)</f>
        <v>Multicoat</v>
      </c>
    </row>
    <row r="118" spans="1:7" x14ac:dyDescent="0.45">
      <c r="A118">
        <v>117</v>
      </c>
      <c r="B118" t="s">
        <v>11</v>
      </c>
      <c r="C118">
        <v>30</v>
      </c>
      <c r="D118" s="1">
        <v>11.57</v>
      </c>
      <c r="E118" t="s">
        <v>7</v>
      </c>
      <c r="F118">
        <v>20</v>
      </c>
      <c r="G118" t="str">
        <f>VLOOKUP(getslopes[[#This Row],[Column1.projectId]],projects[],2,FALSE)</f>
        <v>Multicoat</v>
      </c>
    </row>
    <row r="119" spans="1:7" x14ac:dyDescent="0.45">
      <c r="A119">
        <v>118</v>
      </c>
      <c r="B119" t="s">
        <v>12</v>
      </c>
      <c r="C119">
        <v>30</v>
      </c>
      <c r="D119" s="1">
        <v>11.15</v>
      </c>
      <c r="E119" t="s">
        <v>7</v>
      </c>
      <c r="F119">
        <v>20</v>
      </c>
      <c r="G119" t="str">
        <f>VLOOKUP(getslopes[[#This Row],[Column1.projectId]],projects[],2,FALSE)</f>
        <v>Multicoat</v>
      </c>
    </row>
    <row r="120" spans="1:7" x14ac:dyDescent="0.45">
      <c r="A120">
        <v>119</v>
      </c>
      <c r="B120" t="s">
        <v>13</v>
      </c>
      <c r="C120">
        <v>0</v>
      </c>
      <c r="D120">
        <v>10</v>
      </c>
      <c r="E120" t="s">
        <v>7</v>
      </c>
      <c r="F120">
        <v>20</v>
      </c>
      <c r="G120" t="str">
        <f>VLOOKUP(getslopes[[#This Row],[Column1.projectId]],projects[],2,FALSE)</f>
        <v>Multicoat</v>
      </c>
    </row>
    <row r="121" spans="1:7" x14ac:dyDescent="0.45">
      <c r="A121">
        <v>120</v>
      </c>
      <c r="B121" t="s">
        <v>14</v>
      </c>
      <c r="C121">
        <v>6</v>
      </c>
      <c r="D121">
        <v>0</v>
      </c>
      <c r="E121" t="s">
        <v>7</v>
      </c>
      <c r="F121">
        <v>20</v>
      </c>
      <c r="G121" t="str">
        <f>VLOOKUP(getslopes[[#This Row],[Column1.projectId]],projects[],2,FALSE)</f>
        <v>Multicoat</v>
      </c>
    </row>
    <row r="122" spans="1:7" x14ac:dyDescent="0.45">
      <c r="A122">
        <v>121</v>
      </c>
      <c r="B122" t="s">
        <v>15</v>
      </c>
      <c r="C122">
        <v>0</v>
      </c>
      <c r="D122">
        <v>139.1</v>
      </c>
      <c r="E122" t="s">
        <v>7</v>
      </c>
      <c r="F122">
        <v>6</v>
      </c>
      <c r="G122" t="str">
        <f>VLOOKUP(getslopes[[#This Row],[Column1.projectId]],projects[],2,FALSE)</f>
        <v>Paraseal</v>
      </c>
    </row>
    <row r="123" spans="1:7" x14ac:dyDescent="0.45">
      <c r="A123">
        <v>122</v>
      </c>
      <c r="B123" t="s">
        <v>8</v>
      </c>
      <c r="C123">
        <v>20</v>
      </c>
      <c r="D123">
        <v>35.200000000000003</v>
      </c>
      <c r="E123" t="s">
        <v>7</v>
      </c>
      <c r="F123">
        <v>6</v>
      </c>
      <c r="G123" t="str">
        <f>VLOOKUP(getslopes[[#This Row],[Column1.projectId]],projects[],2,FALSE)</f>
        <v>Paraseal</v>
      </c>
    </row>
    <row r="124" spans="1:7" x14ac:dyDescent="0.45">
      <c r="A124">
        <v>123</v>
      </c>
      <c r="B124" t="s">
        <v>9</v>
      </c>
      <c r="C124">
        <v>20</v>
      </c>
      <c r="D124">
        <v>20.05</v>
      </c>
      <c r="E124" t="s">
        <v>7</v>
      </c>
      <c r="F124">
        <v>6</v>
      </c>
      <c r="G124" t="str">
        <f>VLOOKUP(getslopes[[#This Row],[Column1.projectId]],projects[],2,FALSE)</f>
        <v>Paraseal</v>
      </c>
    </row>
    <row r="125" spans="1:7" x14ac:dyDescent="0.45">
      <c r="A125">
        <v>124</v>
      </c>
      <c r="B125" t="s">
        <v>10</v>
      </c>
      <c r="C125">
        <v>24</v>
      </c>
      <c r="D125">
        <v>15.74</v>
      </c>
      <c r="E125" t="s">
        <v>7</v>
      </c>
      <c r="F125">
        <v>6</v>
      </c>
      <c r="G125" t="str">
        <f>VLOOKUP(getslopes[[#This Row],[Column1.projectId]],projects[],2,FALSE)</f>
        <v>Paraseal</v>
      </c>
    </row>
    <row r="126" spans="1:7" x14ac:dyDescent="0.45">
      <c r="A126">
        <v>125</v>
      </c>
      <c r="B126" t="s">
        <v>11</v>
      </c>
      <c r="C126">
        <v>24</v>
      </c>
      <c r="D126">
        <v>16.489999999999998</v>
      </c>
      <c r="E126" t="s">
        <v>7</v>
      </c>
      <c r="F126">
        <v>6</v>
      </c>
      <c r="G126" t="str">
        <f>VLOOKUP(getslopes[[#This Row],[Column1.projectId]],projects[],2,FALSE)</f>
        <v>Paraseal</v>
      </c>
    </row>
    <row r="127" spans="1:7" x14ac:dyDescent="0.45">
      <c r="A127">
        <v>126</v>
      </c>
      <c r="B127" t="s">
        <v>12</v>
      </c>
      <c r="C127">
        <v>24</v>
      </c>
      <c r="D127">
        <v>14.68</v>
      </c>
      <c r="E127" t="s">
        <v>7</v>
      </c>
      <c r="F127">
        <v>6</v>
      </c>
      <c r="G127" t="str">
        <f>VLOOKUP(getslopes[[#This Row],[Column1.projectId]],projects[],2,FALSE)</f>
        <v>Paraseal</v>
      </c>
    </row>
    <row r="128" spans="1:7" x14ac:dyDescent="0.45">
      <c r="A128">
        <v>127</v>
      </c>
      <c r="B128" t="s">
        <v>13</v>
      </c>
      <c r="C128">
        <v>0</v>
      </c>
      <c r="D128">
        <v>10</v>
      </c>
      <c r="E128" t="s">
        <v>7</v>
      </c>
      <c r="F128">
        <v>6</v>
      </c>
      <c r="G128" t="str">
        <f>VLOOKUP(getslopes[[#This Row],[Column1.projectId]],projects[],2,FALSE)</f>
        <v>Paraseal</v>
      </c>
    </row>
    <row r="129" spans="1:7" x14ac:dyDescent="0.45">
      <c r="A129">
        <v>128</v>
      </c>
      <c r="B129" t="s">
        <v>14</v>
      </c>
      <c r="C129">
        <v>6</v>
      </c>
      <c r="D129">
        <v>0</v>
      </c>
      <c r="E129" t="s">
        <v>7</v>
      </c>
      <c r="F129">
        <v>6</v>
      </c>
      <c r="G129" t="str">
        <f>VLOOKUP(getslopes[[#This Row],[Column1.projectId]],projects[],2,FALSE)</f>
        <v>Paraseal</v>
      </c>
    </row>
    <row r="130" spans="1:7" x14ac:dyDescent="0.45">
      <c r="A130">
        <v>129</v>
      </c>
      <c r="B130" t="s">
        <v>15</v>
      </c>
      <c r="C130">
        <v>0</v>
      </c>
      <c r="D130">
        <v>144.1</v>
      </c>
      <c r="E130" t="s">
        <v>16</v>
      </c>
      <c r="F130">
        <v>6</v>
      </c>
      <c r="G130" t="str">
        <f>VLOOKUP(getslopes[[#This Row],[Column1.projectId]],projects[],2,FALSE)</f>
        <v>Paraseal</v>
      </c>
    </row>
    <row r="131" spans="1:7" x14ac:dyDescent="0.45">
      <c r="A131">
        <v>130</v>
      </c>
      <c r="B131" t="s">
        <v>8</v>
      </c>
      <c r="C131">
        <v>14.4</v>
      </c>
      <c r="D131">
        <v>147.66999999999999</v>
      </c>
      <c r="E131" t="s">
        <v>16</v>
      </c>
      <c r="F131">
        <v>6</v>
      </c>
      <c r="G131" t="str">
        <f>VLOOKUP(getslopes[[#This Row],[Column1.projectId]],projects[],2,FALSE)</f>
        <v>Paraseal</v>
      </c>
    </row>
    <row r="132" spans="1:7" x14ac:dyDescent="0.45">
      <c r="A132">
        <v>131</v>
      </c>
      <c r="B132" t="s">
        <v>9</v>
      </c>
      <c r="C132">
        <v>14.4</v>
      </c>
      <c r="D132">
        <v>147.66999999999999</v>
      </c>
      <c r="E132" t="s">
        <v>16</v>
      </c>
      <c r="F132">
        <v>6</v>
      </c>
      <c r="G132" t="str">
        <f>VLOOKUP(getslopes[[#This Row],[Column1.projectId]],projects[],2,FALSE)</f>
        <v>Paraseal</v>
      </c>
    </row>
    <row r="133" spans="1:7" x14ac:dyDescent="0.45">
      <c r="A133">
        <v>132</v>
      </c>
      <c r="B133" t="s">
        <v>10</v>
      </c>
      <c r="C133">
        <v>14.4</v>
      </c>
      <c r="D133">
        <v>147.66999999999999</v>
      </c>
      <c r="E133" t="s">
        <v>16</v>
      </c>
      <c r="F133">
        <v>6</v>
      </c>
      <c r="G133" t="str">
        <f>VLOOKUP(getslopes[[#This Row],[Column1.projectId]],projects[],2,FALSE)</f>
        <v>Paraseal</v>
      </c>
    </row>
    <row r="134" spans="1:7" x14ac:dyDescent="0.45">
      <c r="A134">
        <v>133</v>
      </c>
      <c r="B134" t="s">
        <v>11</v>
      </c>
      <c r="C134">
        <v>14.4</v>
      </c>
      <c r="D134">
        <v>147.66999999999999</v>
      </c>
      <c r="E134" t="s">
        <v>16</v>
      </c>
      <c r="F134">
        <v>6</v>
      </c>
      <c r="G134" t="str">
        <f>VLOOKUP(getslopes[[#This Row],[Column1.projectId]],projects[],2,FALSE)</f>
        <v>Paraseal</v>
      </c>
    </row>
    <row r="135" spans="1:7" x14ac:dyDescent="0.45">
      <c r="A135">
        <v>134</v>
      </c>
      <c r="B135" t="s">
        <v>12</v>
      </c>
      <c r="C135">
        <v>14.4</v>
      </c>
      <c r="D135">
        <v>147.66999999999999</v>
      </c>
      <c r="E135" t="s">
        <v>16</v>
      </c>
      <c r="F135">
        <v>6</v>
      </c>
      <c r="G135" t="str">
        <f>VLOOKUP(getslopes[[#This Row],[Column1.projectId]],projects[],2,FALSE)</f>
        <v>Paraseal</v>
      </c>
    </row>
    <row r="136" spans="1:7" x14ac:dyDescent="0.45">
      <c r="A136">
        <v>135</v>
      </c>
      <c r="B136" t="s">
        <v>13</v>
      </c>
      <c r="C136">
        <v>0</v>
      </c>
      <c r="D136">
        <v>10</v>
      </c>
      <c r="E136" t="s">
        <v>16</v>
      </c>
      <c r="F136">
        <v>6</v>
      </c>
      <c r="G136" t="str">
        <f>VLOOKUP(getslopes[[#This Row],[Column1.projectId]],projects[],2,FALSE)</f>
        <v>Paraseal</v>
      </c>
    </row>
    <row r="137" spans="1:7" x14ac:dyDescent="0.45">
      <c r="A137">
        <v>136</v>
      </c>
      <c r="B137" t="s">
        <v>14</v>
      </c>
      <c r="C137">
        <v>6</v>
      </c>
      <c r="D137">
        <v>0</v>
      </c>
      <c r="E137" t="s">
        <v>16</v>
      </c>
      <c r="F137">
        <v>6</v>
      </c>
      <c r="G137" t="str">
        <f>VLOOKUP(getslopes[[#This Row],[Column1.projectId]],projects[],2,FALSE)</f>
        <v>Paraseal</v>
      </c>
    </row>
    <row r="138" spans="1:7" x14ac:dyDescent="0.45">
      <c r="A138">
        <v>137</v>
      </c>
      <c r="B138" t="s">
        <v>15</v>
      </c>
      <c r="C138">
        <v>0</v>
      </c>
      <c r="D138">
        <v>139.1</v>
      </c>
      <c r="E138" t="s">
        <v>7</v>
      </c>
      <c r="F138">
        <v>7</v>
      </c>
      <c r="G138" t="str">
        <f>VLOOKUP(getslopes[[#This Row],[Column1.projectId]],projects[],2,FALSE)</f>
        <v>Paraseal LG</v>
      </c>
    </row>
    <row r="139" spans="1:7" x14ac:dyDescent="0.45">
      <c r="A139">
        <v>138</v>
      </c>
      <c r="B139" t="s">
        <v>8</v>
      </c>
      <c r="C139">
        <v>20</v>
      </c>
      <c r="D139">
        <v>35.200000000000003</v>
      </c>
      <c r="E139" t="s">
        <v>7</v>
      </c>
      <c r="F139">
        <v>7</v>
      </c>
      <c r="G139" t="str">
        <f>VLOOKUP(getslopes[[#This Row],[Column1.projectId]],projects[],2,FALSE)</f>
        <v>Paraseal LG</v>
      </c>
    </row>
    <row r="140" spans="1:7" x14ac:dyDescent="0.45">
      <c r="A140">
        <v>139</v>
      </c>
      <c r="B140" t="s">
        <v>9</v>
      </c>
      <c r="C140">
        <v>20</v>
      </c>
      <c r="D140">
        <v>20.05</v>
      </c>
      <c r="E140" t="s">
        <v>7</v>
      </c>
      <c r="F140">
        <v>7</v>
      </c>
      <c r="G140" t="str">
        <f>VLOOKUP(getslopes[[#This Row],[Column1.projectId]],projects[],2,FALSE)</f>
        <v>Paraseal LG</v>
      </c>
    </row>
    <row r="141" spans="1:7" x14ac:dyDescent="0.45">
      <c r="A141">
        <v>140</v>
      </c>
      <c r="B141" t="s">
        <v>10</v>
      </c>
      <c r="C141">
        <v>24</v>
      </c>
      <c r="D141">
        <v>15.74</v>
      </c>
      <c r="E141" t="s">
        <v>7</v>
      </c>
      <c r="F141">
        <v>7</v>
      </c>
      <c r="G141" t="str">
        <f>VLOOKUP(getslopes[[#This Row],[Column1.projectId]],projects[],2,FALSE)</f>
        <v>Paraseal LG</v>
      </c>
    </row>
    <row r="142" spans="1:7" x14ac:dyDescent="0.45">
      <c r="A142">
        <v>141</v>
      </c>
      <c r="B142" t="s">
        <v>11</v>
      </c>
      <c r="C142">
        <v>24</v>
      </c>
      <c r="D142">
        <v>16.489999999999998</v>
      </c>
      <c r="E142" t="s">
        <v>7</v>
      </c>
      <c r="F142">
        <v>7</v>
      </c>
      <c r="G142" t="str">
        <f>VLOOKUP(getslopes[[#This Row],[Column1.projectId]],projects[],2,FALSE)</f>
        <v>Paraseal LG</v>
      </c>
    </row>
    <row r="143" spans="1:7" x14ac:dyDescent="0.45">
      <c r="A143">
        <v>142</v>
      </c>
      <c r="B143" t="s">
        <v>12</v>
      </c>
      <c r="C143">
        <v>24</v>
      </c>
      <c r="D143">
        <v>14.68</v>
      </c>
      <c r="E143" t="s">
        <v>7</v>
      </c>
      <c r="F143">
        <v>7</v>
      </c>
      <c r="G143" t="str">
        <f>VLOOKUP(getslopes[[#This Row],[Column1.projectId]],projects[],2,FALSE)</f>
        <v>Paraseal LG</v>
      </c>
    </row>
    <row r="144" spans="1:7" x14ac:dyDescent="0.45">
      <c r="A144">
        <v>143</v>
      </c>
      <c r="B144" t="s">
        <v>13</v>
      </c>
      <c r="C144">
        <v>0</v>
      </c>
      <c r="D144">
        <v>10</v>
      </c>
      <c r="E144" t="s">
        <v>7</v>
      </c>
      <c r="F144">
        <v>7</v>
      </c>
      <c r="G144" t="str">
        <f>VLOOKUP(getslopes[[#This Row],[Column1.projectId]],projects[],2,FALSE)</f>
        <v>Paraseal LG</v>
      </c>
    </row>
    <row r="145" spans="1:7" x14ac:dyDescent="0.45">
      <c r="A145">
        <v>144</v>
      </c>
      <c r="B145" t="s">
        <v>14</v>
      </c>
      <c r="C145">
        <v>6</v>
      </c>
      <c r="D145">
        <v>0</v>
      </c>
      <c r="E145" t="s">
        <v>7</v>
      </c>
      <c r="F145">
        <v>7</v>
      </c>
      <c r="G145" t="str">
        <f>VLOOKUP(getslopes[[#This Row],[Column1.projectId]],projects[],2,FALSE)</f>
        <v>Paraseal LG</v>
      </c>
    </row>
    <row r="146" spans="1:7" x14ac:dyDescent="0.45">
      <c r="A146">
        <v>145</v>
      </c>
      <c r="B146" t="s">
        <v>15</v>
      </c>
      <c r="C146">
        <v>0</v>
      </c>
      <c r="D146">
        <v>144.1</v>
      </c>
      <c r="E146" t="s">
        <v>16</v>
      </c>
      <c r="F146">
        <v>7</v>
      </c>
      <c r="G146" t="str">
        <f>VLOOKUP(getslopes[[#This Row],[Column1.projectId]],projects[],2,FALSE)</f>
        <v>Paraseal LG</v>
      </c>
    </row>
    <row r="147" spans="1:7" x14ac:dyDescent="0.45">
      <c r="A147">
        <v>146</v>
      </c>
      <c r="B147" t="s">
        <v>8</v>
      </c>
      <c r="C147">
        <v>14.4</v>
      </c>
      <c r="D147">
        <v>147.66999999999999</v>
      </c>
      <c r="E147" t="s">
        <v>16</v>
      </c>
      <c r="F147">
        <v>7</v>
      </c>
      <c r="G147" t="str">
        <f>VLOOKUP(getslopes[[#This Row],[Column1.projectId]],projects[],2,FALSE)</f>
        <v>Paraseal LG</v>
      </c>
    </row>
    <row r="148" spans="1:7" x14ac:dyDescent="0.45">
      <c r="A148">
        <v>147</v>
      </c>
      <c r="B148" t="s">
        <v>9</v>
      </c>
      <c r="C148">
        <v>14.4</v>
      </c>
      <c r="D148">
        <v>147.66999999999999</v>
      </c>
      <c r="E148" t="s">
        <v>16</v>
      </c>
      <c r="F148">
        <v>7</v>
      </c>
      <c r="G148" t="str">
        <f>VLOOKUP(getslopes[[#This Row],[Column1.projectId]],projects[],2,FALSE)</f>
        <v>Paraseal LG</v>
      </c>
    </row>
    <row r="149" spans="1:7" x14ac:dyDescent="0.45">
      <c r="A149">
        <v>148</v>
      </c>
      <c r="B149" t="s">
        <v>10</v>
      </c>
      <c r="C149">
        <v>14.4</v>
      </c>
      <c r="D149">
        <v>147.66999999999999</v>
      </c>
      <c r="E149" t="s">
        <v>16</v>
      </c>
      <c r="F149">
        <v>7</v>
      </c>
      <c r="G149" t="str">
        <f>VLOOKUP(getslopes[[#This Row],[Column1.projectId]],projects[],2,FALSE)</f>
        <v>Paraseal LG</v>
      </c>
    </row>
    <row r="150" spans="1:7" x14ac:dyDescent="0.45">
      <c r="A150">
        <v>149</v>
      </c>
      <c r="B150" t="s">
        <v>11</v>
      </c>
      <c r="C150">
        <v>14.4</v>
      </c>
      <c r="D150">
        <v>147.66999999999999</v>
      </c>
      <c r="E150" t="s">
        <v>16</v>
      </c>
      <c r="F150">
        <v>7</v>
      </c>
      <c r="G150" t="str">
        <f>VLOOKUP(getslopes[[#This Row],[Column1.projectId]],projects[],2,FALSE)</f>
        <v>Paraseal LG</v>
      </c>
    </row>
    <row r="151" spans="1:7" x14ac:dyDescent="0.45">
      <c r="A151">
        <v>150</v>
      </c>
      <c r="B151" t="s">
        <v>12</v>
      </c>
      <c r="C151">
        <v>14.4</v>
      </c>
      <c r="D151">
        <v>147.66999999999999</v>
      </c>
      <c r="E151" t="s">
        <v>16</v>
      </c>
      <c r="F151">
        <v>7</v>
      </c>
      <c r="G151" t="str">
        <f>VLOOKUP(getslopes[[#This Row],[Column1.projectId]],projects[],2,FALSE)</f>
        <v>Paraseal LG</v>
      </c>
    </row>
    <row r="152" spans="1:7" x14ac:dyDescent="0.45">
      <c r="A152">
        <v>151</v>
      </c>
      <c r="B152" t="s">
        <v>13</v>
      </c>
      <c r="C152">
        <v>0</v>
      </c>
      <c r="D152">
        <v>10</v>
      </c>
      <c r="E152" t="s">
        <v>16</v>
      </c>
      <c r="F152">
        <v>7</v>
      </c>
      <c r="G152" t="str">
        <f>VLOOKUP(getslopes[[#This Row],[Column1.projectId]],projects[],2,FALSE)</f>
        <v>Paraseal LG</v>
      </c>
    </row>
    <row r="153" spans="1:7" x14ac:dyDescent="0.45">
      <c r="A153">
        <v>152</v>
      </c>
      <c r="B153" t="s">
        <v>14</v>
      </c>
      <c r="C153">
        <v>6</v>
      </c>
      <c r="D153">
        <v>0</v>
      </c>
      <c r="E153" t="s">
        <v>16</v>
      </c>
      <c r="F153">
        <v>7</v>
      </c>
      <c r="G153" t="str">
        <f>VLOOKUP(getslopes[[#This Row],[Column1.projectId]],projects[],2,FALSE)</f>
        <v>Paraseal LG</v>
      </c>
    </row>
    <row r="154" spans="1:7" x14ac:dyDescent="0.45">
      <c r="A154">
        <v>153</v>
      </c>
      <c r="B154" t="s">
        <v>15</v>
      </c>
      <c r="C154">
        <v>0</v>
      </c>
      <c r="D154">
        <v>34.22</v>
      </c>
      <c r="E154" t="s">
        <v>7</v>
      </c>
      <c r="F154">
        <v>11</v>
      </c>
      <c r="G154" t="str">
        <f>VLOOKUP(getslopes[[#This Row],[Column1.projectId]],projects[],2,FALSE)</f>
        <v>Pli-Dek</v>
      </c>
    </row>
    <row r="155" spans="1:7" x14ac:dyDescent="0.45">
      <c r="A155">
        <v>154</v>
      </c>
      <c r="B155" t="s">
        <v>8</v>
      </c>
      <c r="C155">
        <v>24</v>
      </c>
      <c r="D155" s="1">
        <v>34.22</v>
      </c>
      <c r="E155" t="s">
        <v>7</v>
      </c>
      <c r="F155">
        <v>11</v>
      </c>
      <c r="G155" t="str">
        <f>VLOOKUP(getslopes[[#This Row],[Column1.projectId]],projects[],2,FALSE)</f>
        <v>Pli-Dek</v>
      </c>
    </row>
    <row r="156" spans="1:7" x14ac:dyDescent="0.45">
      <c r="A156">
        <v>155</v>
      </c>
      <c r="B156" t="s">
        <v>9</v>
      </c>
      <c r="C156">
        <v>24</v>
      </c>
      <c r="D156" s="1">
        <v>34.22</v>
      </c>
      <c r="E156" t="s">
        <v>7</v>
      </c>
      <c r="F156">
        <v>11</v>
      </c>
      <c r="G156" t="str">
        <f>VLOOKUP(getslopes[[#This Row],[Column1.projectId]],projects[],2,FALSE)</f>
        <v>Pli-Dek</v>
      </c>
    </row>
    <row r="157" spans="1:7" x14ac:dyDescent="0.45">
      <c r="A157">
        <v>156</v>
      </c>
      <c r="B157" t="s">
        <v>10</v>
      </c>
      <c r="C157">
        <v>30</v>
      </c>
      <c r="D157" s="1">
        <v>34.22</v>
      </c>
      <c r="E157" t="s">
        <v>7</v>
      </c>
      <c r="F157">
        <v>11</v>
      </c>
      <c r="G157" t="str">
        <f>VLOOKUP(getslopes[[#This Row],[Column1.projectId]],projects[],2,FALSE)</f>
        <v>Pli-Dek</v>
      </c>
    </row>
    <row r="158" spans="1:7" x14ac:dyDescent="0.45">
      <c r="A158">
        <v>157</v>
      </c>
      <c r="B158" t="s">
        <v>11</v>
      </c>
      <c r="C158">
        <v>30</v>
      </c>
      <c r="D158" s="1">
        <v>34.22</v>
      </c>
      <c r="E158" t="s">
        <v>7</v>
      </c>
      <c r="F158">
        <v>11</v>
      </c>
      <c r="G158" t="str">
        <f>VLOOKUP(getslopes[[#This Row],[Column1.projectId]],projects[],2,FALSE)</f>
        <v>Pli-Dek</v>
      </c>
    </row>
    <row r="159" spans="1:7" x14ac:dyDescent="0.45">
      <c r="A159">
        <v>158</v>
      </c>
      <c r="B159" t="s">
        <v>12</v>
      </c>
      <c r="C159">
        <v>30</v>
      </c>
      <c r="D159" s="1">
        <v>34.22</v>
      </c>
      <c r="E159" t="s">
        <v>7</v>
      </c>
      <c r="F159">
        <v>11</v>
      </c>
      <c r="G159" t="str">
        <f>VLOOKUP(getslopes[[#This Row],[Column1.projectId]],projects[],2,FALSE)</f>
        <v>Pli-Dek</v>
      </c>
    </row>
    <row r="160" spans="1:7" x14ac:dyDescent="0.45">
      <c r="A160">
        <v>159</v>
      </c>
      <c r="B160" t="s">
        <v>13</v>
      </c>
      <c r="C160">
        <v>0</v>
      </c>
      <c r="D160">
        <v>10</v>
      </c>
      <c r="E160" t="s">
        <v>7</v>
      </c>
      <c r="F160">
        <v>11</v>
      </c>
      <c r="G160" t="str">
        <f>VLOOKUP(getslopes[[#This Row],[Column1.projectId]],projects[],2,FALSE)</f>
        <v>Pli-Dek</v>
      </c>
    </row>
    <row r="161" spans="1:7" x14ac:dyDescent="0.45">
      <c r="A161">
        <v>160</v>
      </c>
      <c r="B161" t="s">
        <v>14</v>
      </c>
      <c r="C161">
        <v>6</v>
      </c>
      <c r="D161">
        <v>0</v>
      </c>
      <c r="E161" t="s">
        <v>7</v>
      </c>
      <c r="F161">
        <v>11</v>
      </c>
      <c r="G161" t="str">
        <f>VLOOKUP(getslopes[[#This Row],[Column1.projectId]],projects[],2,FALSE)</f>
        <v>Pli-Dek</v>
      </c>
    </row>
    <row r="162" spans="1:7" x14ac:dyDescent="0.45">
      <c r="A162">
        <v>161</v>
      </c>
      <c r="B162" t="s">
        <v>15</v>
      </c>
      <c r="C162">
        <v>0</v>
      </c>
      <c r="D162">
        <v>139.1</v>
      </c>
      <c r="E162" t="s">
        <v>7</v>
      </c>
      <c r="F162">
        <v>14</v>
      </c>
      <c r="G162" t="str">
        <f>VLOOKUP(getslopes[[#This Row],[Column1.projectId]],projects[],2,FALSE)</f>
        <v>Tufflex</v>
      </c>
    </row>
    <row r="163" spans="1:7" x14ac:dyDescent="0.45">
      <c r="A163">
        <v>162</v>
      </c>
      <c r="B163" t="s">
        <v>8</v>
      </c>
      <c r="C163">
        <v>20</v>
      </c>
      <c r="D163" s="1">
        <v>35.200000000000003</v>
      </c>
      <c r="E163" t="s">
        <v>7</v>
      </c>
      <c r="F163">
        <v>14</v>
      </c>
      <c r="G163" t="str">
        <f>VLOOKUP(getslopes[[#This Row],[Column1.projectId]],projects[],2,FALSE)</f>
        <v>Tufflex</v>
      </c>
    </row>
    <row r="164" spans="1:7" x14ac:dyDescent="0.45">
      <c r="A164">
        <v>163</v>
      </c>
      <c r="B164" t="s">
        <v>9</v>
      </c>
      <c r="C164">
        <v>20</v>
      </c>
      <c r="D164" s="1">
        <v>20.05</v>
      </c>
      <c r="E164" t="s">
        <v>7</v>
      </c>
      <c r="F164">
        <v>14</v>
      </c>
      <c r="G164" t="str">
        <f>VLOOKUP(getslopes[[#This Row],[Column1.projectId]],projects[],2,FALSE)</f>
        <v>Tufflex</v>
      </c>
    </row>
    <row r="165" spans="1:7" x14ac:dyDescent="0.45">
      <c r="A165">
        <v>164</v>
      </c>
      <c r="B165" t="s">
        <v>10</v>
      </c>
      <c r="C165">
        <v>24</v>
      </c>
      <c r="D165" s="1">
        <v>15.74</v>
      </c>
      <c r="E165" t="s">
        <v>7</v>
      </c>
      <c r="F165">
        <v>14</v>
      </c>
      <c r="G165" t="str">
        <f>VLOOKUP(getslopes[[#This Row],[Column1.projectId]],projects[],2,FALSE)</f>
        <v>Tufflex</v>
      </c>
    </row>
    <row r="166" spans="1:7" x14ac:dyDescent="0.45">
      <c r="A166">
        <v>165</v>
      </c>
      <c r="B166" t="s">
        <v>11</v>
      </c>
      <c r="C166">
        <v>24</v>
      </c>
      <c r="D166" s="1">
        <v>16.489999999999998</v>
      </c>
      <c r="E166" t="s">
        <v>7</v>
      </c>
      <c r="F166">
        <v>14</v>
      </c>
      <c r="G166" t="str">
        <f>VLOOKUP(getslopes[[#This Row],[Column1.projectId]],projects[],2,FALSE)</f>
        <v>Tufflex</v>
      </c>
    </row>
    <row r="167" spans="1:7" x14ac:dyDescent="0.45">
      <c r="A167">
        <v>166</v>
      </c>
      <c r="B167" t="s">
        <v>12</v>
      </c>
      <c r="C167">
        <v>24</v>
      </c>
      <c r="D167" s="1">
        <v>14.68</v>
      </c>
      <c r="E167" t="s">
        <v>7</v>
      </c>
      <c r="F167">
        <v>14</v>
      </c>
      <c r="G167" t="str">
        <f>VLOOKUP(getslopes[[#This Row],[Column1.projectId]],projects[],2,FALSE)</f>
        <v>Tufflex</v>
      </c>
    </row>
    <row r="168" spans="1:7" x14ac:dyDescent="0.45">
      <c r="A168">
        <v>167</v>
      </c>
      <c r="B168" t="s">
        <v>13</v>
      </c>
      <c r="C168">
        <v>0</v>
      </c>
      <c r="D168">
        <v>10</v>
      </c>
      <c r="E168" t="s">
        <v>7</v>
      </c>
      <c r="F168">
        <v>14</v>
      </c>
      <c r="G168" t="str">
        <f>VLOOKUP(getslopes[[#This Row],[Column1.projectId]],projects[],2,FALSE)</f>
        <v>Tufflex</v>
      </c>
    </row>
    <row r="169" spans="1:7" x14ac:dyDescent="0.45">
      <c r="A169">
        <v>168</v>
      </c>
      <c r="B169" t="s">
        <v>14</v>
      </c>
      <c r="C169">
        <v>6</v>
      </c>
      <c r="D169">
        <v>0</v>
      </c>
      <c r="E169" t="s">
        <v>7</v>
      </c>
      <c r="F169">
        <v>14</v>
      </c>
      <c r="G169" t="str">
        <f>VLOOKUP(getslopes[[#This Row],[Column1.projectId]],projects[],2,FALSE)</f>
        <v>Tufflex</v>
      </c>
    </row>
    <row r="170" spans="1:7" x14ac:dyDescent="0.45">
      <c r="A170">
        <v>169</v>
      </c>
      <c r="B170" t="s">
        <v>15</v>
      </c>
      <c r="C170">
        <v>0</v>
      </c>
      <c r="D170">
        <v>144.1</v>
      </c>
      <c r="E170" t="s">
        <v>16</v>
      </c>
      <c r="F170">
        <v>14</v>
      </c>
      <c r="G170" t="str">
        <f>VLOOKUP(getslopes[[#This Row],[Column1.projectId]],projects[],2,FALSE)</f>
        <v>Tufflex</v>
      </c>
    </row>
    <row r="171" spans="1:7" x14ac:dyDescent="0.45">
      <c r="A171">
        <v>170</v>
      </c>
      <c r="B171" t="s">
        <v>8</v>
      </c>
      <c r="C171">
        <v>14.4</v>
      </c>
      <c r="D171">
        <v>147.66999999999999</v>
      </c>
      <c r="E171" t="s">
        <v>16</v>
      </c>
      <c r="F171">
        <v>14</v>
      </c>
      <c r="G171" t="str">
        <f>VLOOKUP(getslopes[[#This Row],[Column1.projectId]],projects[],2,FALSE)</f>
        <v>Tufflex</v>
      </c>
    </row>
    <row r="172" spans="1:7" x14ac:dyDescent="0.45">
      <c r="A172">
        <v>171</v>
      </c>
      <c r="B172" t="s">
        <v>9</v>
      </c>
      <c r="C172">
        <v>14.4</v>
      </c>
      <c r="D172">
        <v>147.66999999999999</v>
      </c>
      <c r="E172" t="s">
        <v>16</v>
      </c>
      <c r="F172">
        <v>14</v>
      </c>
      <c r="G172" t="str">
        <f>VLOOKUP(getslopes[[#This Row],[Column1.projectId]],projects[],2,FALSE)</f>
        <v>Tufflex</v>
      </c>
    </row>
    <row r="173" spans="1:7" x14ac:dyDescent="0.45">
      <c r="A173">
        <v>172</v>
      </c>
      <c r="B173" t="s">
        <v>10</v>
      </c>
      <c r="C173">
        <v>14.4</v>
      </c>
      <c r="D173">
        <v>147.66999999999999</v>
      </c>
      <c r="E173" t="s">
        <v>16</v>
      </c>
      <c r="F173">
        <v>14</v>
      </c>
      <c r="G173" t="str">
        <f>VLOOKUP(getslopes[[#This Row],[Column1.projectId]],projects[],2,FALSE)</f>
        <v>Tufflex</v>
      </c>
    </row>
    <row r="174" spans="1:7" x14ac:dyDescent="0.45">
      <c r="A174">
        <v>173</v>
      </c>
      <c r="B174" t="s">
        <v>11</v>
      </c>
      <c r="C174">
        <v>14.4</v>
      </c>
      <c r="D174">
        <v>147.66999999999999</v>
      </c>
      <c r="E174" t="s">
        <v>16</v>
      </c>
      <c r="F174">
        <v>14</v>
      </c>
      <c r="G174" t="str">
        <f>VLOOKUP(getslopes[[#This Row],[Column1.projectId]],projects[],2,FALSE)</f>
        <v>Tufflex</v>
      </c>
    </row>
    <row r="175" spans="1:7" x14ac:dyDescent="0.45">
      <c r="A175">
        <v>174</v>
      </c>
      <c r="B175" t="s">
        <v>12</v>
      </c>
      <c r="C175">
        <v>14.4</v>
      </c>
      <c r="D175">
        <v>147.66999999999999</v>
      </c>
      <c r="E175" t="s">
        <v>16</v>
      </c>
      <c r="F175">
        <v>14</v>
      </c>
      <c r="G175" t="str">
        <f>VLOOKUP(getslopes[[#This Row],[Column1.projectId]],projects[],2,FALSE)</f>
        <v>Tufflex</v>
      </c>
    </row>
    <row r="176" spans="1:7" x14ac:dyDescent="0.45">
      <c r="A176">
        <v>175</v>
      </c>
      <c r="B176" t="s">
        <v>13</v>
      </c>
      <c r="C176">
        <v>0</v>
      </c>
      <c r="D176">
        <v>10</v>
      </c>
      <c r="E176" t="s">
        <v>16</v>
      </c>
      <c r="F176">
        <v>14</v>
      </c>
      <c r="G176" t="str">
        <f>VLOOKUP(getslopes[[#This Row],[Column1.projectId]],projects[],2,FALSE)</f>
        <v>Tufflex</v>
      </c>
    </row>
    <row r="177" spans="1:7" x14ac:dyDescent="0.45">
      <c r="A177">
        <v>176</v>
      </c>
      <c r="B177" t="s">
        <v>14</v>
      </c>
      <c r="C177">
        <v>6</v>
      </c>
      <c r="D177">
        <v>0</v>
      </c>
      <c r="E177" t="s">
        <v>16</v>
      </c>
      <c r="F177">
        <v>14</v>
      </c>
      <c r="G177" t="str">
        <f>VLOOKUP(getslopes[[#This Row],[Column1.projectId]],projects[],2,FALSE)</f>
        <v>Tufflex</v>
      </c>
    </row>
    <row r="178" spans="1:7" x14ac:dyDescent="0.45">
      <c r="A178">
        <v>177</v>
      </c>
      <c r="B178" t="s">
        <v>15</v>
      </c>
      <c r="C178">
        <v>0</v>
      </c>
      <c r="D178">
        <v>20.49</v>
      </c>
      <c r="E178" t="s">
        <v>7</v>
      </c>
      <c r="F178">
        <v>9</v>
      </c>
      <c r="G178" t="str">
        <f>VLOOKUP(getslopes[[#This Row],[Column1.projectId]],projects[],2,FALSE)</f>
        <v>201</v>
      </c>
    </row>
    <row r="179" spans="1:7" x14ac:dyDescent="0.45">
      <c r="A179">
        <v>178</v>
      </c>
      <c r="B179" t="s">
        <v>8</v>
      </c>
      <c r="C179">
        <v>24</v>
      </c>
      <c r="D179" s="1">
        <v>17.89</v>
      </c>
      <c r="E179" t="s">
        <v>7</v>
      </c>
      <c r="F179">
        <v>9</v>
      </c>
      <c r="G179" t="str">
        <f>VLOOKUP(getslopes[[#This Row],[Column1.projectId]],projects[],2,FALSE)</f>
        <v>201</v>
      </c>
    </row>
    <row r="180" spans="1:7" x14ac:dyDescent="0.45">
      <c r="A180">
        <v>179</v>
      </c>
      <c r="B180" t="s">
        <v>9</v>
      </c>
      <c r="C180">
        <v>24</v>
      </c>
      <c r="D180" s="1">
        <v>13.68</v>
      </c>
      <c r="E180" t="s">
        <v>7</v>
      </c>
      <c r="F180">
        <v>9</v>
      </c>
      <c r="G180" t="str">
        <f>VLOOKUP(getslopes[[#This Row],[Column1.projectId]],projects[],2,FALSE)</f>
        <v>201</v>
      </c>
    </row>
    <row r="181" spans="1:7" x14ac:dyDescent="0.45">
      <c r="A181">
        <v>180</v>
      </c>
      <c r="B181" t="s">
        <v>10</v>
      </c>
      <c r="C181">
        <v>30</v>
      </c>
      <c r="D181" s="1">
        <v>12.27</v>
      </c>
      <c r="E181" t="s">
        <v>7</v>
      </c>
      <c r="F181">
        <v>9</v>
      </c>
      <c r="G181" t="str">
        <f>VLOOKUP(getslopes[[#This Row],[Column1.projectId]],projects[],2,FALSE)</f>
        <v>201</v>
      </c>
    </row>
    <row r="182" spans="1:7" x14ac:dyDescent="0.45">
      <c r="A182">
        <v>181</v>
      </c>
      <c r="B182" t="s">
        <v>11</v>
      </c>
      <c r="C182">
        <v>30</v>
      </c>
      <c r="D182" s="1">
        <v>11.57</v>
      </c>
      <c r="E182" t="s">
        <v>7</v>
      </c>
      <c r="F182">
        <v>9</v>
      </c>
      <c r="G182" t="str">
        <f>VLOOKUP(getslopes[[#This Row],[Column1.projectId]],projects[],2,FALSE)</f>
        <v>201</v>
      </c>
    </row>
    <row r="183" spans="1:7" x14ac:dyDescent="0.45">
      <c r="A183">
        <v>182</v>
      </c>
      <c r="B183" t="s">
        <v>12</v>
      </c>
      <c r="C183">
        <v>30</v>
      </c>
      <c r="D183" s="1">
        <v>11.15</v>
      </c>
      <c r="E183" t="s">
        <v>7</v>
      </c>
      <c r="F183">
        <v>9</v>
      </c>
      <c r="G183" t="str">
        <f>VLOOKUP(getslopes[[#This Row],[Column1.projectId]],projects[],2,FALSE)</f>
        <v>201</v>
      </c>
    </row>
    <row r="184" spans="1:7" x14ac:dyDescent="0.45">
      <c r="A184">
        <v>183</v>
      </c>
      <c r="B184" t="s">
        <v>13</v>
      </c>
      <c r="C184">
        <v>0</v>
      </c>
      <c r="D184">
        <v>10</v>
      </c>
      <c r="E184" t="s">
        <v>7</v>
      </c>
      <c r="F184">
        <v>9</v>
      </c>
      <c r="G184" t="str">
        <f>VLOOKUP(getslopes[[#This Row],[Column1.projectId]],projects[],2,FALSE)</f>
        <v>201</v>
      </c>
    </row>
    <row r="185" spans="1:7" x14ac:dyDescent="0.45">
      <c r="A185">
        <v>184</v>
      </c>
      <c r="B185" t="s">
        <v>14</v>
      </c>
      <c r="C185">
        <v>6</v>
      </c>
      <c r="D185">
        <v>0</v>
      </c>
      <c r="E185" t="s">
        <v>7</v>
      </c>
      <c r="F185">
        <v>9</v>
      </c>
      <c r="G185" t="str">
        <f>VLOOKUP(getslopes[[#This Row],[Column1.projectId]],projects[],2,FALSE)</f>
        <v>201</v>
      </c>
    </row>
    <row r="186" spans="1:7" x14ac:dyDescent="0.45">
      <c r="A186">
        <v>185</v>
      </c>
      <c r="B186" t="s">
        <v>15</v>
      </c>
      <c r="C186">
        <v>0</v>
      </c>
      <c r="D186">
        <v>144.1</v>
      </c>
      <c r="E186" t="s">
        <v>16</v>
      </c>
      <c r="F186">
        <v>9</v>
      </c>
      <c r="G186" t="str">
        <f>VLOOKUP(getslopes[[#This Row],[Column1.projectId]],projects[],2,FALSE)</f>
        <v>201</v>
      </c>
    </row>
    <row r="187" spans="1:7" x14ac:dyDescent="0.45">
      <c r="A187">
        <v>186</v>
      </c>
      <c r="B187" t="s">
        <v>8</v>
      </c>
      <c r="C187">
        <v>18</v>
      </c>
      <c r="D187">
        <v>147.66999999999999</v>
      </c>
      <c r="E187" t="s">
        <v>16</v>
      </c>
      <c r="F187">
        <v>9</v>
      </c>
      <c r="G187" t="str">
        <f>VLOOKUP(getslopes[[#This Row],[Column1.projectId]],projects[],2,FALSE)</f>
        <v>201</v>
      </c>
    </row>
    <row r="188" spans="1:7" x14ac:dyDescent="0.45">
      <c r="A188">
        <v>187</v>
      </c>
      <c r="B188" t="s">
        <v>9</v>
      </c>
      <c r="C188">
        <v>18</v>
      </c>
      <c r="D188">
        <v>147.66999999999999</v>
      </c>
      <c r="E188" t="s">
        <v>16</v>
      </c>
      <c r="F188">
        <v>9</v>
      </c>
      <c r="G188" t="str">
        <f>VLOOKUP(getslopes[[#This Row],[Column1.projectId]],projects[],2,FALSE)</f>
        <v>201</v>
      </c>
    </row>
    <row r="189" spans="1:7" x14ac:dyDescent="0.45">
      <c r="A189">
        <v>188</v>
      </c>
      <c r="B189" t="s">
        <v>10</v>
      </c>
      <c r="C189">
        <v>18</v>
      </c>
      <c r="D189">
        <v>147.66999999999999</v>
      </c>
      <c r="E189" t="s">
        <v>16</v>
      </c>
      <c r="F189">
        <v>9</v>
      </c>
      <c r="G189" t="str">
        <f>VLOOKUP(getslopes[[#This Row],[Column1.projectId]],projects[],2,FALSE)</f>
        <v>201</v>
      </c>
    </row>
    <row r="190" spans="1:7" x14ac:dyDescent="0.45">
      <c r="A190">
        <v>189</v>
      </c>
      <c r="B190" t="s">
        <v>11</v>
      </c>
      <c r="C190">
        <v>18</v>
      </c>
      <c r="D190">
        <v>147.66999999999999</v>
      </c>
      <c r="E190" t="s">
        <v>16</v>
      </c>
      <c r="F190">
        <v>9</v>
      </c>
      <c r="G190" t="str">
        <f>VLOOKUP(getslopes[[#This Row],[Column1.projectId]],projects[],2,FALSE)</f>
        <v>201</v>
      </c>
    </row>
    <row r="191" spans="1:7" x14ac:dyDescent="0.45">
      <c r="A191">
        <v>190</v>
      </c>
      <c r="B191" t="s">
        <v>12</v>
      </c>
      <c r="C191">
        <v>18</v>
      </c>
      <c r="D191">
        <v>147.66999999999999</v>
      </c>
      <c r="E191" t="s">
        <v>16</v>
      </c>
      <c r="F191">
        <v>9</v>
      </c>
      <c r="G191" t="str">
        <f>VLOOKUP(getslopes[[#This Row],[Column1.projectId]],projects[],2,FALSE)</f>
        <v>201</v>
      </c>
    </row>
    <row r="192" spans="1:7" x14ac:dyDescent="0.45">
      <c r="A192">
        <v>191</v>
      </c>
      <c r="B192" t="s">
        <v>13</v>
      </c>
      <c r="C192">
        <v>0</v>
      </c>
      <c r="D192">
        <v>10</v>
      </c>
      <c r="E192" t="s">
        <v>16</v>
      </c>
      <c r="F192">
        <v>9</v>
      </c>
      <c r="G192" t="str">
        <f>VLOOKUP(getslopes[[#This Row],[Column1.projectId]],projects[],2,FALSE)</f>
        <v>201</v>
      </c>
    </row>
    <row r="193" spans="1:7" x14ac:dyDescent="0.45">
      <c r="A193">
        <v>192</v>
      </c>
      <c r="B193" t="s">
        <v>14</v>
      </c>
      <c r="C193">
        <v>6</v>
      </c>
      <c r="D193">
        <v>0</v>
      </c>
      <c r="E193" t="s">
        <v>16</v>
      </c>
      <c r="F193">
        <v>9</v>
      </c>
      <c r="G193" t="str">
        <f>VLOOKUP(getslopes[[#This Row],[Column1.projectId]],projects[],2,FALSE)</f>
        <v>201</v>
      </c>
    </row>
    <row r="194" spans="1:7" x14ac:dyDescent="0.45">
      <c r="A194">
        <v>193</v>
      </c>
      <c r="B194" t="s">
        <v>15</v>
      </c>
      <c r="C194">
        <v>0</v>
      </c>
      <c r="D194">
        <v>20.49</v>
      </c>
      <c r="E194" t="s">
        <v>7</v>
      </c>
      <c r="F194">
        <v>10</v>
      </c>
      <c r="G194" t="str">
        <f>VLOOKUP(getslopes[[#This Row],[Column1.projectId]],projects[],2,FALSE)</f>
        <v>250 GC</v>
      </c>
    </row>
    <row r="195" spans="1:7" x14ac:dyDescent="0.45">
      <c r="A195">
        <v>194</v>
      </c>
      <c r="B195" t="s">
        <v>8</v>
      </c>
      <c r="C195">
        <v>24</v>
      </c>
      <c r="D195" s="1">
        <v>17.89</v>
      </c>
      <c r="E195" t="s">
        <v>7</v>
      </c>
      <c r="F195">
        <v>10</v>
      </c>
      <c r="G195" t="str">
        <f>VLOOKUP(getslopes[[#This Row],[Column1.projectId]],projects[],2,FALSE)</f>
        <v>250 GC</v>
      </c>
    </row>
    <row r="196" spans="1:7" x14ac:dyDescent="0.45">
      <c r="A196">
        <v>195</v>
      </c>
      <c r="B196" t="s">
        <v>9</v>
      </c>
      <c r="C196">
        <v>24</v>
      </c>
      <c r="D196" s="1">
        <v>13.68</v>
      </c>
      <c r="E196" t="s">
        <v>7</v>
      </c>
      <c r="F196">
        <v>10</v>
      </c>
      <c r="G196" t="str">
        <f>VLOOKUP(getslopes[[#This Row],[Column1.projectId]],projects[],2,FALSE)</f>
        <v>250 GC</v>
      </c>
    </row>
    <row r="197" spans="1:7" x14ac:dyDescent="0.45">
      <c r="A197">
        <v>196</v>
      </c>
      <c r="B197" t="s">
        <v>10</v>
      </c>
      <c r="C197">
        <v>30</v>
      </c>
      <c r="D197" s="1">
        <v>12.27</v>
      </c>
      <c r="E197" t="s">
        <v>7</v>
      </c>
      <c r="F197">
        <v>10</v>
      </c>
      <c r="G197" t="str">
        <f>VLOOKUP(getslopes[[#This Row],[Column1.projectId]],projects[],2,FALSE)</f>
        <v>250 GC</v>
      </c>
    </row>
    <row r="198" spans="1:7" x14ac:dyDescent="0.45">
      <c r="A198">
        <v>197</v>
      </c>
      <c r="B198" t="s">
        <v>11</v>
      </c>
      <c r="C198">
        <v>30</v>
      </c>
      <c r="D198" s="1">
        <v>11.57</v>
      </c>
      <c r="E198" t="s">
        <v>7</v>
      </c>
      <c r="F198">
        <v>10</v>
      </c>
      <c r="G198" t="str">
        <f>VLOOKUP(getslopes[[#This Row],[Column1.projectId]],projects[],2,FALSE)</f>
        <v>250 GC</v>
      </c>
    </row>
    <row r="199" spans="1:7" x14ac:dyDescent="0.45">
      <c r="A199">
        <v>198</v>
      </c>
      <c r="B199" t="s">
        <v>12</v>
      </c>
      <c r="C199">
        <v>30</v>
      </c>
      <c r="D199" s="1">
        <v>11.15</v>
      </c>
      <c r="E199" t="s">
        <v>7</v>
      </c>
      <c r="F199">
        <v>10</v>
      </c>
      <c r="G199" t="str">
        <f>VLOOKUP(getslopes[[#This Row],[Column1.projectId]],projects[],2,FALSE)</f>
        <v>250 GC</v>
      </c>
    </row>
    <row r="200" spans="1:7" x14ac:dyDescent="0.45">
      <c r="A200">
        <v>199</v>
      </c>
      <c r="B200" t="s">
        <v>13</v>
      </c>
      <c r="C200">
        <v>0</v>
      </c>
      <c r="D200">
        <v>10</v>
      </c>
      <c r="E200" t="s">
        <v>7</v>
      </c>
      <c r="F200">
        <v>10</v>
      </c>
      <c r="G200" t="str">
        <f>VLOOKUP(getslopes[[#This Row],[Column1.projectId]],projects[],2,FALSE)</f>
        <v>250 GC</v>
      </c>
    </row>
    <row r="201" spans="1:7" x14ac:dyDescent="0.45">
      <c r="A201">
        <v>200</v>
      </c>
      <c r="B201" t="s">
        <v>14</v>
      </c>
      <c r="C201">
        <v>6</v>
      </c>
      <c r="D201">
        <v>0</v>
      </c>
      <c r="E201" t="s">
        <v>7</v>
      </c>
      <c r="F201">
        <v>10</v>
      </c>
      <c r="G201" t="str">
        <f>VLOOKUP(getslopes[[#This Row],[Column1.projectId]],projects[],2,FALSE)</f>
        <v>250 GC</v>
      </c>
    </row>
    <row r="202" spans="1:7" x14ac:dyDescent="0.45">
      <c r="A202">
        <v>201</v>
      </c>
      <c r="B202" t="s">
        <v>15</v>
      </c>
      <c r="C202">
        <v>0</v>
      </c>
      <c r="D202">
        <v>144.1</v>
      </c>
      <c r="E202" t="s">
        <v>16</v>
      </c>
      <c r="F202">
        <v>10</v>
      </c>
      <c r="G202" t="str">
        <f>VLOOKUP(getslopes[[#This Row],[Column1.projectId]],projects[],2,FALSE)</f>
        <v>250 GC</v>
      </c>
    </row>
    <row r="203" spans="1:7" x14ac:dyDescent="0.45">
      <c r="A203">
        <v>202</v>
      </c>
      <c r="B203" t="s">
        <v>8</v>
      </c>
      <c r="C203">
        <v>18</v>
      </c>
      <c r="D203">
        <v>147.66999999999999</v>
      </c>
      <c r="E203" t="s">
        <v>16</v>
      </c>
      <c r="F203">
        <v>10</v>
      </c>
      <c r="G203" t="str">
        <f>VLOOKUP(getslopes[[#This Row],[Column1.projectId]],projects[],2,FALSE)</f>
        <v>250 GC</v>
      </c>
    </row>
    <row r="204" spans="1:7" x14ac:dyDescent="0.45">
      <c r="A204">
        <v>203</v>
      </c>
      <c r="B204" t="s">
        <v>9</v>
      </c>
      <c r="C204">
        <v>18</v>
      </c>
      <c r="D204">
        <v>147.66999999999999</v>
      </c>
      <c r="E204" t="s">
        <v>16</v>
      </c>
      <c r="F204">
        <v>10</v>
      </c>
      <c r="G204" t="str">
        <f>VLOOKUP(getslopes[[#This Row],[Column1.projectId]],projects[],2,FALSE)</f>
        <v>250 GC</v>
      </c>
    </row>
    <row r="205" spans="1:7" x14ac:dyDescent="0.45">
      <c r="A205">
        <v>204</v>
      </c>
      <c r="B205" t="s">
        <v>10</v>
      </c>
      <c r="C205">
        <v>18</v>
      </c>
      <c r="D205">
        <v>147.66999999999999</v>
      </c>
      <c r="E205" t="s">
        <v>16</v>
      </c>
      <c r="F205">
        <v>10</v>
      </c>
      <c r="G205" t="str">
        <f>VLOOKUP(getslopes[[#This Row],[Column1.projectId]],projects[],2,FALSE)</f>
        <v>250 GC</v>
      </c>
    </row>
    <row r="206" spans="1:7" x14ac:dyDescent="0.45">
      <c r="A206">
        <v>205</v>
      </c>
      <c r="B206" t="s">
        <v>11</v>
      </c>
      <c r="C206">
        <v>18</v>
      </c>
      <c r="D206">
        <v>147.66999999999999</v>
      </c>
      <c r="E206" t="s">
        <v>16</v>
      </c>
      <c r="F206">
        <v>10</v>
      </c>
      <c r="G206" t="str">
        <f>VLOOKUP(getslopes[[#This Row],[Column1.projectId]],projects[],2,FALSE)</f>
        <v>250 GC</v>
      </c>
    </row>
    <row r="207" spans="1:7" x14ac:dyDescent="0.45">
      <c r="A207">
        <v>206</v>
      </c>
      <c r="B207" t="s">
        <v>12</v>
      </c>
      <c r="C207">
        <v>18</v>
      </c>
      <c r="D207">
        <v>147.66999999999999</v>
      </c>
      <c r="E207" t="s">
        <v>16</v>
      </c>
      <c r="F207">
        <v>10</v>
      </c>
      <c r="G207" t="str">
        <f>VLOOKUP(getslopes[[#This Row],[Column1.projectId]],projects[],2,FALSE)</f>
        <v>250 GC</v>
      </c>
    </row>
    <row r="208" spans="1:7" x14ac:dyDescent="0.45">
      <c r="A208">
        <v>207</v>
      </c>
      <c r="B208" t="s">
        <v>13</v>
      </c>
      <c r="C208">
        <v>0</v>
      </c>
      <c r="D208">
        <v>10</v>
      </c>
      <c r="E208" t="s">
        <v>16</v>
      </c>
      <c r="F208">
        <v>10</v>
      </c>
      <c r="G208" t="str">
        <f>VLOOKUP(getslopes[[#This Row],[Column1.projectId]],projects[],2,FALSE)</f>
        <v>250 GC</v>
      </c>
    </row>
    <row r="209" spans="1:7" x14ac:dyDescent="0.45">
      <c r="A209">
        <v>208</v>
      </c>
      <c r="B209" t="s">
        <v>14</v>
      </c>
      <c r="C209">
        <v>6</v>
      </c>
      <c r="D209">
        <v>0</v>
      </c>
      <c r="E209" t="s">
        <v>16</v>
      </c>
      <c r="F209">
        <v>10</v>
      </c>
      <c r="G209" t="str">
        <f>VLOOKUP(getslopes[[#This Row],[Column1.projectId]],projects[],2,FALSE)</f>
        <v>250 GC</v>
      </c>
    </row>
    <row r="210" spans="1:7" x14ac:dyDescent="0.45">
      <c r="A210">
        <v>209</v>
      </c>
      <c r="B210" t="s">
        <v>15</v>
      </c>
      <c r="C210">
        <v>0</v>
      </c>
      <c r="D210">
        <v>24.395</v>
      </c>
      <c r="E210" t="s">
        <v>7</v>
      </c>
      <c r="F210">
        <v>21</v>
      </c>
      <c r="G210" t="str">
        <f>VLOOKUP(getslopes[[#This Row],[Column1.projectId]],projects[],2,FALSE)</f>
        <v>Dexcellent II</v>
      </c>
    </row>
    <row r="211" spans="1:7" x14ac:dyDescent="0.45">
      <c r="A211">
        <v>210</v>
      </c>
      <c r="B211" t="s">
        <v>8</v>
      </c>
      <c r="C211">
        <v>24</v>
      </c>
      <c r="D211" s="1">
        <v>9.4600000000000009</v>
      </c>
      <c r="E211" t="s">
        <v>7</v>
      </c>
      <c r="F211">
        <v>21</v>
      </c>
      <c r="G211" t="str">
        <f>VLOOKUP(getslopes[[#This Row],[Column1.projectId]],projects[],2,FALSE)</f>
        <v>Dexcellent II</v>
      </c>
    </row>
    <row r="212" spans="1:7" x14ac:dyDescent="0.45">
      <c r="A212">
        <v>211</v>
      </c>
      <c r="B212" t="s">
        <v>9</v>
      </c>
      <c r="C212">
        <v>24</v>
      </c>
      <c r="D212" s="1">
        <v>9.4600000000000009</v>
      </c>
      <c r="E212" t="s">
        <v>7</v>
      </c>
      <c r="F212">
        <v>21</v>
      </c>
      <c r="G212" t="str">
        <f>VLOOKUP(getslopes[[#This Row],[Column1.projectId]],projects[],2,FALSE)</f>
        <v>Dexcellent II</v>
      </c>
    </row>
    <row r="213" spans="1:7" x14ac:dyDescent="0.45">
      <c r="A213">
        <v>212</v>
      </c>
      <c r="B213" t="s">
        <v>10</v>
      </c>
      <c r="C213">
        <v>24</v>
      </c>
      <c r="D213" s="1">
        <v>9.4600000000000009</v>
      </c>
      <c r="E213" t="s">
        <v>7</v>
      </c>
      <c r="F213">
        <v>21</v>
      </c>
      <c r="G213" t="str">
        <f>VLOOKUP(getslopes[[#This Row],[Column1.projectId]],projects[],2,FALSE)</f>
        <v>Dexcellent II</v>
      </c>
    </row>
    <row r="214" spans="1:7" x14ac:dyDescent="0.45">
      <c r="A214">
        <v>213</v>
      </c>
      <c r="B214" t="s">
        <v>11</v>
      </c>
      <c r="C214">
        <v>24</v>
      </c>
      <c r="D214" s="1">
        <v>9.4600000000000009</v>
      </c>
      <c r="E214" t="s">
        <v>7</v>
      </c>
      <c r="F214">
        <v>21</v>
      </c>
      <c r="G214" t="str">
        <f>VLOOKUP(getslopes[[#This Row],[Column1.projectId]],projects[],2,FALSE)</f>
        <v>Dexcellent II</v>
      </c>
    </row>
    <row r="215" spans="1:7" x14ac:dyDescent="0.45">
      <c r="A215">
        <v>214</v>
      </c>
      <c r="B215" t="s">
        <v>12</v>
      </c>
      <c r="C215">
        <v>24</v>
      </c>
      <c r="D215" s="1">
        <v>9.4600000000000009</v>
      </c>
      <c r="E215" t="s">
        <v>7</v>
      </c>
      <c r="F215">
        <v>21</v>
      </c>
      <c r="G215" t="str">
        <f>VLOOKUP(getslopes[[#This Row],[Column1.projectId]],projects[],2,FALSE)</f>
        <v>Dexcellent II</v>
      </c>
    </row>
    <row r="216" spans="1:7" x14ac:dyDescent="0.45">
      <c r="A216">
        <v>215</v>
      </c>
      <c r="B216" t="s">
        <v>13</v>
      </c>
      <c r="C216">
        <v>0</v>
      </c>
      <c r="D216">
        <v>10</v>
      </c>
      <c r="E216" t="s">
        <v>7</v>
      </c>
      <c r="F216">
        <v>21</v>
      </c>
      <c r="G216" t="str">
        <f>VLOOKUP(getslopes[[#This Row],[Column1.projectId]],projects[],2,FALSE)</f>
        <v>Dexcellent II</v>
      </c>
    </row>
    <row r="217" spans="1:7" x14ac:dyDescent="0.45">
      <c r="A217">
        <v>216</v>
      </c>
      <c r="B217" t="s">
        <v>14</v>
      </c>
      <c r="C217">
        <v>6</v>
      </c>
      <c r="D217">
        <v>0</v>
      </c>
      <c r="E217" t="s">
        <v>7</v>
      </c>
      <c r="F217">
        <v>21</v>
      </c>
      <c r="G217" t="str">
        <f>VLOOKUP(getslopes[[#This Row],[Column1.projectId]],projects[],2,FALSE)</f>
        <v>Dexcellent II</v>
      </c>
    </row>
    <row r="218" spans="1:7" x14ac:dyDescent="0.45">
      <c r="A218">
        <v>217</v>
      </c>
      <c r="B218" t="s">
        <v>15</v>
      </c>
      <c r="C218">
        <v>0</v>
      </c>
      <c r="D218">
        <v>139.1</v>
      </c>
      <c r="E218" t="s">
        <v>7</v>
      </c>
      <c r="F218">
        <v>8</v>
      </c>
      <c r="G218" t="str">
        <f>VLOOKUP(getslopes[[#This Row],[Column1.projectId]],projects[],2,FALSE)</f>
        <v>860 Carlisle</v>
      </c>
    </row>
    <row r="219" spans="1:7" x14ac:dyDescent="0.45">
      <c r="A219">
        <v>218</v>
      </c>
      <c r="B219" t="s">
        <v>8</v>
      </c>
      <c r="C219">
        <v>24</v>
      </c>
      <c r="D219" s="1">
        <v>35.200000000000003</v>
      </c>
      <c r="E219" t="s">
        <v>7</v>
      </c>
      <c r="F219">
        <v>8</v>
      </c>
      <c r="G219" t="str">
        <f>VLOOKUP(getslopes[[#This Row],[Column1.projectId]],projects[],2,FALSE)</f>
        <v>860 Carlisle</v>
      </c>
    </row>
    <row r="220" spans="1:7" x14ac:dyDescent="0.45">
      <c r="A220">
        <v>219</v>
      </c>
      <c r="B220" t="s">
        <v>9</v>
      </c>
      <c r="C220">
        <v>24</v>
      </c>
      <c r="D220" s="1">
        <v>20.05</v>
      </c>
      <c r="E220" t="s">
        <v>7</v>
      </c>
      <c r="F220">
        <v>8</v>
      </c>
      <c r="G220" t="str">
        <f>VLOOKUP(getslopes[[#This Row],[Column1.projectId]],projects[],2,FALSE)</f>
        <v>860 Carlisle</v>
      </c>
    </row>
    <row r="221" spans="1:7" x14ac:dyDescent="0.45">
      <c r="A221">
        <v>220</v>
      </c>
      <c r="B221" t="s">
        <v>10</v>
      </c>
      <c r="C221">
        <v>24</v>
      </c>
      <c r="D221" s="1">
        <v>15.74</v>
      </c>
      <c r="E221" t="s">
        <v>7</v>
      </c>
      <c r="F221">
        <v>8</v>
      </c>
      <c r="G221" t="str">
        <f>VLOOKUP(getslopes[[#This Row],[Column1.projectId]],projects[],2,FALSE)</f>
        <v>860 Carlisle</v>
      </c>
    </row>
    <row r="222" spans="1:7" x14ac:dyDescent="0.45">
      <c r="A222">
        <v>221</v>
      </c>
      <c r="B222" t="s">
        <v>11</v>
      </c>
      <c r="C222">
        <v>24</v>
      </c>
      <c r="D222" s="1">
        <v>16.489999999999998</v>
      </c>
      <c r="E222" t="s">
        <v>7</v>
      </c>
      <c r="F222">
        <v>8</v>
      </c>
      <c r="G222" t="str">
        <f>VLOOKUP(getslopes[[#This Row],[Column1.projectId]],projects[],2,FALSE)</f>
        <v>860 Carlisle</v>
      </c>
    </row>
    <row r="223" spans="1:7" x14ac:dyDescent="0.45">
      <c r="A223">
        <v>222</v>
      </c>
      <c r="B223" t="s">
        <v>12</v>
      </c>
      <c r="C223">
        <v>24</v>
      </c>
      <c r="D223" s="1">
        <v>14.68</v>
      </c>
      <c r="E223" t="s">
        <v>7</v>
      </c>
      <c r="F223">
        <v>8</v>
      </c>
      <c r="G223" t="str">
        <f>VLOOKUP(getslopes[[#This Row],[Column1.projectId]],projects[],2,FALSE)</f>
        <v>860 Carlisle</v>
      </c>
    </row>
    <row r="224" spans="1:7" x14ac:dyDescent="0.45">
      <c r="A224">
        <v>223</v>
      </c>
      <c r="B224" t="s">
        <v>13</v>
      </c>
      <c r="C224">
        <v>0</v>
      </c>
      <c r="D224">
        <v>10</v>
      </c>
      <c r="E224" t="s">
        <v>7</v>
      </c>
      <c r="F224">
        <v>8</v>
      </c>
      <c r="G224" t="str">
        <f>VLOOKUP(getslopes[[#This Row],[Column1.projectId]],projects[],2,FALSE)</f>
        <v>860 Carlisle</v>
      </c>
    </row>
    <row r="225" spans="1:7" x14ac:dyDescent="0.45">
      <c r="A225">
        <v>224</v>
      </c>
      <c r="B225" t="s">
        <v>14</v>
      </c>
      <c r="C225">
        <v>6</v>
      </c>
      <c r="D225">
        <v>0</v>
      </c>
      <c r="E225" t="s">
        <v>7</v>
      </c>
      <c r="F225">
        <v>8</v>
      </c>
      <c r="G225" t="str">
        <f>VLOOKUP(getslopes[[#This Row],[Column1.projectId]],projects[],2,FALSE)</f>
        <v>860 Carlisle</v>
      </c>
    </row>
    <row r="226" spans="1:7" x14ac:dyDescent="0.45">
      <c r="A226">
        <v>225</v>
      </c>
      <c r="B226" t="s">
        <v>15</v>
      </c>
      <c r="C226">
        <v>0</v>
      </c>
      <c r="D226">
        <v>144.1</v>
      </c>
      <c r="E226" t="s">
        <v>16</v>
      </c>
      <c r="F226">
        <v>8</v>
      </c>
      <c r="G226" t="str">
        <f>VLOOKUP(getslopes[[#This Row],[Column1.projectId]],projects[],2,FALSE)</f>
        <v>860 Carlisle</v>
      </c>
    </row>
    <row r="227" spans="1:7" x14ac:dyDescent="0.45">
      <c r="A227">
        <v>226</v>
      </c>
      <c r="B227" t="s">
        <v>8</v>
      </c>
      <c r="C227">
        <v>14.4</v>
      </c>
      <c r="D227">
        <v>147.66999999999999</v>
      </c>
      <c r="E227" t="s">
        <v>16</v>
      </c>
      <c r="F227">
        <v>8</v>
      </c>
      <c r="G227" t="str">
        <f>VLOOKUP(getslopes[[#This Row],[Column1.projectId]],projects[],2,FALSE)</f>
        <v>860 Carlisle</v>
      </c>
    </row>
    <row r="228" spans="1:7" x14ac:dyDescent="0.45">
      <c r="A228">
        <v>227</v>
      </c>
      <c r="B228" t="s">
        <v>9</v>
      </c>
      <c r="C228">
        <v>14.4</v>
      </c>
      <c r="D228">
        <v>147.66999999999999</v>
      </c>
      <c r="E228" t="s">
        <v>16</v>
      </c>
      <c r="F228">
        <v>8</v>
      </c>
      <c r="G228" t="str">
        <f>VLOOKUP(getslopes[[#This Row],[Column1.projectId]],projects[],2,FALSE)</f>
        <v>860 Carlisle</v>
      </c>
    </row>
    <row r="229" spans="1:7" x14ac:dyDescent="0.45">
      <c r="A229">
        <v>228</v>
      </c>
      <c r="B229" t="s">
        <v>10</v>
      </c>
      <c r="C229">
        <v>14.4</v>
      </c>
      <c r="D229">
        <v>147.66999999999999</v>
      </c>
      <c r="E229" t="s">
        <v>16</v>
      </c>
      <c r="F229">
        <v>8</v>
      </c>
      <c r="G229" t="str">
        <f>VLOOKUP(getslopes[[#This Row],[Column1.projectId]],projects[],2,FALSE)</f>
        <v>860 Carlisle</v>
      </c>
    </row>
    <row r="230" spans="1:7" x14ac:dyDescent="0.45">
      <c r="A230">
        <v>229</v>
      </c>
      <c r="B230" t="s">
        <v>11</v>
      </c>
      <c r="C230">
        <v>14.4</v>
      </c>
      <c r="D230">
        <v>147.66999999999999</v>
      </c>
      <c r="E230" t="s">
        <v>16</v>
      </c>
      <c r="F230">
        <v>8</v>
      </c>
      <c r="G230" t="str">
        <f>VLOOKUP(getslopes[[#This Row],[Column1.projectId]],projects[],2,FALSE)</f>
        <v>860 Carlisle</v>
      </c>
    </row>
    <row r="231" spans="1:7" x14ac:dyDescent="0.45">
      <c r="A231">
        <v>230</v>
      </c>
      <c r="B231" t="s">
        <v>12</v>
      </c>
      <c r="C231">
        <v>14.4</v>
      </c>
      <c r="D231">
        <v>147.66999999999999</v>
      </c>
      <c r="E231" t="s">
        <v>16</v>
      </c>
      <c r="F231">
        <v>8</v>
      </c>
      <c r="G231" t="str">
        <f>VLOOKUP(getslopes[[#This Row],[Column1.projectId]],projects[],2,FALSE)</f>
        <v>860 Carlisle</v>
      </c>
    </row>
    <row r="232" spans="1:7" x14ac:dyDescent="0.45">
      <c r="A232">
        <v>231</v>
      </c>
      <c r="B232" t="s">
        <v>13</v>
      </c>
      <c r="C232">
        <v>0</v>
      </c>
      <c r="D232">
        <v>10</v>
      </c>
      <c r="E232" t="s">
        <v>16</v>
      </c>
      <c r="F232">
        <v>8</v>
      </c>
      <c r="G232" t="str">
        <f>VLOOKUP(getslopes[[#This Row],[Column1.projectId]],projects[],2,FALSE)</f>
        <v>860 Carlisle</v>
      </c>
    </row>
    <row r="233" spans="1:7" x14ac:dyDescent="0.45">
      <c r="A233">
        <v>232</v>
      </c>
      <c r="B233" t="s">
        <v>14</v>
      </c>
      <c r="C233">
        <v>6</v>
      </c>
      <c r="D233">
        <v>0</v>
      </c>
      <c r="E233" t="s">
        <v>16</v>
      </c>
      <c r="F233">
        <v>8</v>
      </c>
      <c r="G233" t="str">
        <f>VLOOKUP(getslopes[[#This Row],[Column1.projectId]],projects[],2,FALSE)</f>
        <v>860 Carlisle</v>
      </c>
    </row>
    <row r="234" spans="1:7" x14ac:dyDescent="0.45">
      <c r="A234">
        <v>233</v>
      </c>
      <c r="B234" t="s">
        <v>15</v>
      </c>
      <c r="C234">
        <v>0</v>
      </c>
      <c r="D234">
        <v>20.49</v>
      </c>
      <c r="E234" t="s">
        <v>7</v>
      </c>
      <c r="F234">
        <v>22</v>
      </c>
      <c r="G234" t="str">
        <f>VLOOKUP(getslopes[[#This Row],[Column1.projectId]],projects[],2,FALSE)</f>
        <v>Westcoat BT</v>
      </c>
    </row>
    <row r="235" spans="1:7" x14ac:dyDescent="0.45">
      <c r="A235">
        <v>234</v>
      </c>
      <c r="B235" t="s">
        <v>8</v>
      </c>
      <c r="C235">
        <v>24</v>
      </c>
      <c r="D235">
        <v>20.49</v>
      </c>
      <c r="E235" t="s">
        <v>7</v>
      </c>
      <c r="F235">
        <v>22</v>
      </c>
      <c r="G235" t="str">
        <f>VLOOKUP(getslopes[[#This Row],[Column1.projectId]],projects[],2,FALSE)</f>
        <v>Westcoat BT</v>
      </c>
    </row>
    <row r="236" spans="1:7" x14ac:dyDescent="0.45">
      <c r="A236">
        <v>235</v>
      </c>
      <c r="B236" t="s">
        <v>9</v>
      </c>
      <c r="C236">
        <v>24</v>
      </c>
      <c r="D236">
        <v>20.49</v>
      </c>
      <c r="E236" t="s">
        <v>7</v>
      </c>
      <c r="F236">
        <v>22</v>
      </c>
      <c r="G236" t="str">
        <f>VLOOKUP(getslopes[[#This Row],[Column1.projectId]],projects[],2,FALSE)</f>
        <v>Westcoat BT</v>
      </c>
    </row>
    <row r="237" spans="1:7" x14ac:dyDescent="0.45">
      <c r="A237">
        <v>236</v>
      </c>
      <c r="B237" t="s">
        <v>10</v>
      </c>
      <c r="C237">
        <v>24</v>
      </c>
      <c r="D237">
        <v>20.49</v>
      </c>
      <c r="E237" t="s">
        <v>7</v>
      </c>
      <c r="F237">
        <v>22</v>
      </c>
      <c r="G237" t="str">
        <f>VLOOKUP(getslopes[[#This Row],[Column1.projectId]],projects[],2,FALSE)</f>
        <v>Westcoat BT</v>
      </c>
    </row>
    <row r="238" spans="1:7" x14ac:dyDescent="0.45">
      <c r="A238">
        <v>237</v>
      </c>
      <c r="B238" t="s">
        <v>11</v>
      </c>
      <c r="C238">
        <v>24</v>
      </c>
      <c r="D238">
        <v>20.49</v>
      </c>
      <c r="E238" t="s">
        <v>7</v>
      </c>
      <c r="F238">
        <v>22</v>
      </c>
      <c r="G238" t="str">
        <f>VLOOKUP(getslopes[[#This Row],[Column1.projectId]],projects[],2,FALSE)</f>
        <v>Westcoat BT</v>
      </c>
    </row>
    <row r="239" spans="1:7" x14ac:dyDescent="0.45">
      <c r="A239">
        <v>238</v>
      </c>
      <c r="B239" t="s">
        <v>12</v>
      </c>
      <c r="C239">
        <v>24</v>
      </c>
      <c r="D239">
        <v>20.49</v>
      </c>
      <c r="E239" t="s">
        <v>7</v>
      </c>
      <c r="F239">
        <v>22</v>
      </c>
      <c r="G239" t="str">
        <f>VLOOKUP(getslopes[[#This Row],[Column1.projectId]],projects[],2,FALSE)</f>
        <v>Westcoat BT</v>
      </c>
    </row>
    <row r="240" spans="1:7" x14ac:dyDescent="0.45">
      <c r="A240">
        <v>239</v>
      </c>
      <c r="B240" t="s">
        <v>13</v>
      </c>
      <c r="C240">
        <v>0</v>
      </c>
      <c r="D240">
        <v>10</v>
      </c>
      <c r="E240" t="s">
        <v>7</v>
      </c>
      <c r="F240">
        <v>22</v>
      </c>
      <c r="G240" t="str">
        <f>VLOOKUP(getslopes[[#This Row],[Column1.projectId]],projects[],2,FALSE)</f>
        <v>Westcoat BT</v>
      </c>
    </row>
    <row r="241" spans="1:7" x14ac:dyDescent="0.45">
      <c r="A241">
        <v>240</v>
      </c>
      <c r="B241" t="s">
        <v>14</v>
      </c>
      <c r="C241">
        <v>6</v>
      </c>
      <c r="D241">
        <v>0</v>
      </c>
      <c r="E241" t="s">
        <v>7</v>
      </c>
      <c r="F241">
        <v>22</v>
      </c>
      <c r="G241" t="str">
        <f>VLOOKUP(getslopes[[#This Row],[Column1.projectId]],projects[],2,FALSE)</f>
        <v>Westcoat BT</v>
      </c>
    </row>
    <row r="242" spans="1:7" x14ac:dyDescent="0.45">
      <c r="A242">
        <v>241</v>
      </c>
      <c r="B242" t="s">
        <v>15</v>
      </c>
      <c r="C242">
        <v>0</v>
      </c>
      <c r="D242">
        <v>139.1</v>
      </c>
      <c r="E242" t="s">
        <v>7</v>
      </c>
      <c r="F242">
        <v>23</v>
      </c>
      <c r="G242" t="str">
        <f>VLOOKUP(getslopes[[#This Row],[Column1.projectId]],projects[],2,FALSE)</f>
        <v>UPI BT</v>
      </c>
    </row>
    <row r="243" spans="1:7" x14ac:dyDescent="0.45">
      <c r="A243">
        <v>242</v>
      </c>
      <c r="B243" t="s">
        <v>8</v>
      </c>
      <c r="C243">
        <v>20</v>
      </c>
      <c r="D243" s="1">
        <v>60.04</v>
      </c>
      <c r="E243" t="s">
        <v>7</v>
      </c>
      <c r="F243">
        <v>23</v>
      </c>
      <c r="G243" t="str">
        <f>VLOOKUP(getslopes[[#This Row],[Column1.projectId]],projects[],2,FALSE)</f>
        <v>UPI BT</v>
      </c>
    </row>
    <row r="244" spans="1:7" x14ac:dyDescent="0.45">
      <c r="A244">
        <v>243</v>
      </c>
      <c r="B244" t="s">
        <v>9</v>
      </c>
      <c r="C244">
        <v>20</v>
      </c>
      <c r="D244" s="1">
        <v>43.14</v>
      </c>
      <c r="E244" t="s">
        <v>7</v>
      </c>
      <c r="F244">
        <v>23</v>
      </c>
      <c r="G244" t="str">
        <f>VLOOKUP(getslopes[[#This Row],[Column1.projectId]],projects[],2,FALSE)</f>
        <v>UPI BT</v>
      </c>
    </row>
    <row r="245" spans="1:7" x14ac:dyDescent="0.45">
      <c r="A245">
        <v>244</v>
      </c>
      <c r="B245" t="s">
        <v>10</v>
      </c>
      <c r="C245">
        <v>24</v>
      </c>
      <c r="D245" s="1">
        <v>37.42</v>
      </c>
      <c r="E245" t="s">
        <v>7</v>
      </c>
      <c r="F245">
        <v>23</v>
      </c>
      <c r="G245" t="str">
        <f>VLOOKUP(getslopes[[#This Row],[Column1.projectId]],projects[],2,FALSE)</f>
        <v>UPI BT</v>
      </c>
    </row>
    <row r="246" spans="1:7" x14ac:dyDescent="0.45">
      <c r="A246">
        <v>245</v>
      </c>
      <c r="B246" t="s">
        <v>11</v>
      </c>
      <c r="C246">
        <v>24</v>
      </c>
      <c r="D246" s="1">
        <v>34.68</v>
      </c>
      <c r="E246" t="s">
        <v>7</v>
      </c>
      <c r="F246">
        <v>23</v>
      </c>
      <c r="G246" t="str">
        <f>VLOOKUP(getslopes[[#This Row],[Column1.projectId]],projects[],2,FALSE)</f>
        <v>UPI BT</v>
      </c>
    </row>
    <row r="247" spans="1:7" x14ac:dyDescent="0.45">
      <c r="A247">
        <v>246</v>
      </c>
      <c r="B247" t="s">
        <v>12</v>
      </c>
      <c r="C247">
        <v>24</v>
      </c>
      <c r="D247" s="1">
        <v>32.380000000000003</v>
      </c>
      <c r="E247" t="s">
        <v>7</v>
      </c>
      <c r="F247">
        <v>23</v>
      </c>
      <c r="G247" t="str">
        <f>VLOOKUP(getslopes[[#This Row],[Column1.projectId]],projects[],2,FALSE)</f>
        <v>UPI BT</v>
      </c>
    </row>
    <row r="248" spans="1:7" x14ac:dyDescent="0.45">
      <c r="A248">
        <v>247</v>
      </c>
      <c r="B248" t="s">
        <v>13</v>
      </c>
      <c r="C248">
        <v>0</v>
      </c>
      <c r="D248">
        <v>10</v>
      </c>
      <c r="E248" t="s">
        <v>7</v>
      </c>
      <c r="F248">
        <v>23</v>
      </c>
      <c r="G248" t="str">
        <f>VLOOKUP(getslopes[[#This Row],[Column1.projectId]],projects[],2,FALSE)</f>
        <v>UPI BT</v>
      </c>
    </row>
    <row r="249" spans="1:7" x14ac:dyDescent="0.45">
      <c r="A249">
        <v>248</v>
      </c>
      <c r="B249" t="s">
        <v>14</v>
      </c>
      <c r="C249">
        <v>6</v>
      </c>
      <c r="D249">
        <v>0</v>
      </c>
      <c r="E249" t="s">
        <v>7</v>
      </c>
      <c r="F249">
        <v>23</v>
      </c>
      <c r="G249" t="str">
        <f>VLOOKUP(getslopes[[#This Row],[Column1.projectId]],projects[],2,FALSE)</f>
        <v>UPI BT</v>
      </c>
    </row>
    <row r="250" spans="1:7" x14ac:dyDescent="0.45">
      <c r="A250">
        <v>249</v>
      </c>
      <c r="B250" t="s">
        <v>15</v>
      </c>
      <c r="C250">
        <v>0</v>
      </c>
      <c r="D250">
        <v>144.1</v>
      </c>
      <c r="E250" t="s">
        <v>16</v>
      </c>
      <c r="F250">
        <v>23</v>
      </c>
      <c r="G250" t="str">
        <f>VLOOKUP(getslopes[[#This Row],[Column1.projectId]],projects[],2,FALSE)</f>
        <v>UPI BT</v>
      </c>
    </row>
    <row r="251" spans="1:7" x14ac:dyDescent="0.45">
      <c r="A251">
        <v>250</v>
      </c>
      <c r="B251" t="s">
        <v>8</v>
      </c>
      <c r="C251">
        <v>14.4</v>
      </c>
      <c r="D251">
        <v>147.66999999999999</v>
      </c>
      <c r="E251" t="s">
        <v>16</v>
      </c>
      <c r="F251">
        <v>23</v>
      </c>
      <c r="G251" t="str">
        <f>VLOOKUP(getslopes[[#This Row],[Column1.projectId]],projects[],2,FALSE)</f>
        <v>UPI BT</v>
      </c>
    </row>
    <row r="252" spans="1:7" x14ac:dyDescent="0.45">
      <c r="A252">
        <v>251</v>
      </c>
      <c r="B252" t="s">
        <v>9</v>
      </c>
      <c r="C252">
        <v>14.4</v>
      </c>
      <c r="D252">
        <v>147.66999999999999</v>
      </c>
      <c r="E252" t="s">
        <v>16</v>
      </c>
      <c r="F252">
        <v>23</v>
      </c>
      <c r="G252" t="str">
        <f>VLOOKUP(getslopes[[#This Row],[Column1.projectId]],projects[],2,FALSE)</f>
        <v>UPI BT</v>
      </c>
    </row>
    <row r="253" spans="1:7" x14ac:dyDescent="0.45">
      <c r="A253">
        <v>252</v>
      </c>
      <c r="B253" t="s">
        <v>10</v>
      </c>
      <c r="C253">
        <v>14.4</v>
      </c>
      <c r="D253">
        <v>147.66999999999999</v>
      </c>
      <c r="E253" t="s">
        <v>16</v>
      </c>
      <c r="F253">
        <v>23</v>
      </c>
      <c r="G253" t="str">
        <f>VLOOKUP(getslopes[[#This Row],[Column1.projectId]],projects[],2,FALSE)</f>
        <v>UPI BT</v>
      </c>
    </row>
    <row r="254" spans="1:7" x14ac:dyDescent="0.45">
      <c r="A254">
        <v>253</v>
      </c>
      <c r="B254" t="s">
        <v>11</v>
      </c>
      <c r="C254">
        <v>14.4</v>
      </c>
      <c r="D254">
        <v>147.66999999999999</v>
      </c>
      <c r="E254" t="s">
        <v>16</v>
      </c>
      <c r="F254">
        <v>23</v>
      </c>
      <c r="G254" t="str">
        <f>VLOOKUP(getslopes[[#This Row],[Column1.projectId]],projects[],2,FALSE)</f>
        <v>UPI BT</v>
      </c>
    </row>
    <row r="255" spans="1:7" x14ac:dyDescent="0.45">
      <c r="A255">
        <v>254</v>
      </c>
      <c r="B255" t="s">
        <v>12</v>
      </c>
      <c r="C255">
        <v>14.4</v>
      </c>
      <c r="D255">
        <v>147.66999999999999</v>
      </c>
      <c r="E255" t="s">
        <v>16</v>
      </c>
      <c r="F255">
        <v>23</v>
      </c>
      <c r="G255" t="str">
        <f>VLOOKUP(getslopes[[#This Row],[Column1.projectId]],projects[],2,FALSE)</f>
        <v>UPI BT</v>
      </c>
    </row>
    <row r="256" spans="1:7" x14ac:dyDescent="0.45">
      <c r="A256">
        <v>255</v>
      </c>
      <c r="B256" t="s">
        <v>13</v>
      </c>
      <c r="C256">
        <v>0</v>
      </c>
      <c r="D256">
        <v>10</v>
      </c>
      <c r="E256" t="s">
        <v>16</v>
      </c>
      <c r="F256">
        <v>23</v>
      </c>
      <c r="G256" t="str">
        <f>VLOOKUP(getslopes[[#This Row],[Column1.projectId]],projects[],2,FALSE)</f>
        <v>UPI BT</v>
      </c>
    </row>
    <row r="257" spans="1:7" x14ac:dyDescent="0.45">
      <c r="A257">
        <v>256</v>
      </c>
      <c r="B257" t="s">
        <v>14</v>
      </c>
      <c r="C257">
        <v>6</v>
      </c>
      <c r="D257">
        <v>0</v>
      </c>
      <c r="E257" t="s">
        <v>16</v>
      </c>
      <c r="F257">
        <v>23</v>
      </c>
      <c r="G257" t="str">
        <f>VLOOKUP(getslopes[[#This Row],[Column1.projectId]],projects[],2,FALSE)</f>
        <v>UPI BT</v>
      </c>
    </row>
    <row r="258" spans="1:7" x14ac:dyDescent="0.45">
      <c r="A258">
        <v>257</v>
      </c>
      <c r="B258" t="s">
        <v>15</v>
      </c>
      <c r="C258">
        <v>0</v>
      </c>
      <c r="D258">
        <v>20.49</v>
      </c>
      <c r="E258" t="s">
        <v>7</v>
      </c>
      <c r="F258">
        <v>24</v>
      </c>
      <c r="G258" t="str">
        <f>VLOOKUP(getslopes[[#This Row],[Column1.projectId]],projects[],2,FALSE)</f>
        <v>Dual Flex</v>
      </c>
    </row>
    <row r="259" spans="1:7" x14ac:dyDescent="0.45">
      <c r="A259">
        <v>258</v>
      </c>
      <c r="B259" t="s">
        <v>8</v>
      </c>
      <c r="C259">
        <v>30</v>
      </c>
      <c r="D259" s="1">
        <v>17.98</v>
      </c>
      <c r="E259" t="s">
        <v>7</v>
      </c>
      <c r="F259">
        <v>24</v>
      </c>
      <c r="G259" t="str">
        <f>VLOOKUP(getslopes[[#This Row],[Column1.projectId]],projects[],2,FALSE)</f>
        <v>Dual Flex</v>
      </c>
    </row>
    <row r="260" spans="1:7" x14ac:dyDescent="0.45">
      <c r="A260">
        <v>259</v>
      </c>
      <c r="B260" t="s">
        <v>9</v>
      </c>
      <c r="C260">
        <v>30</v>
      </c>
      <c r="D260" s="1">
        <v>13.68</v>
      </c>
      <c r="E260" t="s">
        <v>7</v>
      </c>
      <c r="F260">
        <v>24</v>
      </c>
      <c r="G260" t="str">
        <f>VLOOKUP(getslopes[[#This Row],[Column1.projectId]],projects[],2,FALSE)</f>
        <v>Dual Flex</v>
      </c>
    </row>
    <row r="261" spans="1:7" x14ac:dyDescent="0.45">
      <c r="A261">
        <v>260</v>
      </c>
      <c r="B261" t="s">
        <v>10</v>
      </c>
      <c r="C261">
        <v>30</v>
      </c>
      <c r="D261" s="1">
        <v>12.27</v>
      </c>
      <c r="E261" t="s">
        <v>7</v>
      </c>
      <c r="F261">
        <v>24</v>
      </c>
      <c r="G261" t="str">
        <f>VLOOKUP(getslopes[[#This Row],[Column1.projectId]],projects[],2,FALSE)</f>
        <v>Dual Flex</v>
      </c>
    </row>
    <row r="262" spans="1:7" x14ac:dyDescent="0.45">
      <c r="A262">
        <v>261</v>
      </c>
      <c r="B262" t="s">
        <v>11</v>
      </c>
      <c r="C262">
        <v>30</v>
      </c>
      <c r="D262" s="1">
        <v>11.57</v>
      </c>
      <c r="E262" t="s">
        <v>7</v>
      </c>
      <c r="F262">
        <v>24</v>
      </c>
      <c r="G262" t="str">
        <f>VLOOKUP(getslopes[[#This Row],[Column1.projectId]],projects[],2,FALSE)</f>
        <v>Dual Flex</v>
      </c>
    </row>
    <row r="263" spans="1:7" x14ac:dyDescent="0.45">
      <c r="A263">
        <v>262</v>
      </c>
      <c r="B263" t="s">
        <v>12</v>
      </c>
      <c r="C263">
        <v>30</v>
      </c>
      <c r="D263" s="1">
        <v>11.15</v>
      </c>
      <c r="E263" t="s">
        <v>7</v>
      </c>
      <c r="F263">
        <v>24</v>
      </c>
      <c r="G263" t="str">
        <f>VLOOKUP(getslopes[[#This Row],[Column1.projectId]],projects[],2,FALSE)</f>
        <v>Dual Flex</v>
      </c>
    </row>
    <row r="264" spans="1:7" x14ac:dyDescent="0.45">
      <c r="A264">
        <v>263</v>
      </c>
      <c r="B264" t="s">
        <v>13</v>
      </c>
      <c r="C264">
        <v>0</v>
      </c>
      <c r="D264">
        <v>10</v>
      </c>
      <c r="E264" t="s">
        <v>7</v>
      </c>
      <c r="F264">
        <v>24</v>
      </c>
      <c r="G264" t="str">
        <f>VLOOKUP(getslopes[[#This Row],[Column1.projectId]],projects[],2,FALSE)</f>
        <v>Dual Flex</v>
      </c>
    </row>
    <row r="265" spans="1:7" x14ac:dyDescent="0.45">
      <c r="A265">
        <v>264</v>
      </c>
      <c r="B265" t="s">
        <v>14</v>
      </c>
      <c r="C265">
        <v>6</v>
      </c>
      <c r="D265">
        <v>0</v>
      </c>
      <c r="E265" t="s">
        <v>7</v>
      </c>
      <c r="F265">
        <v>24</v>
      </c>
      <c r="G265" t="str">
        <f>VLOOKUP(getslopes[[#This Row],[Column1.projectId]],projects[],2,FALSE)</f>
        <v>Dual Flex</v>
      </c>
    </row>
    <row r="266" spans="1:7" x14ac:dyDescent="0.45">
      <c r="A266">
        <v>265</v>
      </c>
      <c r="B266" t="s">
        <v>17</v>
      </c>
      <c r="C266">
        <v>40</v>
      </c>
      <c r="D266">
        <v>0</v>
      </c>
      <c r="E266" t="s">
        <v>18</v>
      </c>
      <c r="F266">
        <v>24</v>
      </c>
      <c r="G266" t="str">
        <f>VLOOKUP(getslopes[[#This Row],[Column1.projectId]],projects[],2,FALSE)</f>
        <v>Dual Flex</v>
      </c>
    </row>
    <row r="267" spans="1:7" x14ac:dyDescent="0.45">
      <c r="A267">
        <v>266</v>
      </c>
      <c r="B267" t="s">
        <v>19</v>
      </c>
      <c r="C267">
        <v>60</v>
      </c>
      <c r="D267">
        <v>0.3</v>
      </c>
      <c r="E267" t="s">
        <v>18</v>
      </c>
      <c r="F267">
        <v>24</v>
      </c>
      <c r="G267" t="str">
        <f>VLOOKUP(getslopes[[#This Row],[Column1.projectId]],projects[],2,FALSE)</f>
        <v>Dual Flex</v>
      </c>
    </row>
    <row r="268" spans="1:7" x14ac:dyDescent="0.45">
      <c r="A268">
        <v>267</v>
      </c>
      <c r="B268" t="s">
        <v>20</v>
      </c>
      <c r="C268">
        <v>8.3333300000000001</v>
      </c>
      <c r="D268">
        <v>10.97</v>
      </c>
      <c r="E268" t="s">
        <v>18</v>
      </c>
      <c r="F268">
        <v>24</v>
      </c>
      <c r="G268" t="str">
        <f>VLOOKUP(getslopes[[#This Row],[Column1.projectId]],projects[],2,FALSE)</f>
        <v>Dual Flex</v>
      </c>
    </row>
    <row r="269" spans="1:7" x14ac:dyDescent="0.45">
      <c r="A269">
        <v>268</v>
      </c>
      <c r="B269" t="s">
        <v>21</v>
      </c>
      <c r="C269">
        <v>23</v>
      </c>
      <c r="D269">
        <v>9.35</v>
      </c>
      <c r="E269" t="s">
        <v>18</v>
      </c>
      <c r="F269">
        <v>24</v>
      </c>
      <c r="G269" t="str">
        <f>VLOOKUP(getslopes[[#This Row],[Column1.projectId]],projects[],2,FALSE)</f>
        <v>Dual Flex</v>
      </c>
    </row>
    <row r="270" spans="1:7" x14ac:dyDescent="0.45">
      <c r="A270">
        <v>269</v>
      </c>
      <c r="B270" t="s">
        <v>22</v>
      </c>
      <c r="C270">
        <v>90</v>
      </c>
      <c r="D270">
        <v>11.43</v>
      </c>
      <c r="E270" t="s">
        <v>18</v>
      </c>
      <c r="F270">
        <v>24</v>
      </c>
      <c r="G270" t="str">
        <f>VLOOKUP(getslopes[[#This Row],[Column1.projectId]],projects[],2,FALSE)</f>
        <v>Dual Flex</v>
      </c>
    </row>
    <row r="271" spans="1:7" x14ac:dyDescent="0.45">
      <c r="A271">
        <v>270</v>
      </c>
      <c r="B271" t="s">
        <v>23</v>
      </c>
      <c r="C271">
        <v>100000</v>
      </c>
      <c r="D271">
        <v>22.28</v>
      </c>
      <c r="E271" t="s">
        <v>18</v>
      </c>
      <c r="F271">
        <v>24</v>
      </c>
      <c r="G271" t="str">
        <f>VLOOKUP(getslopes[[#This Row],[Column1.projectId]],projects[],2,FALSE)</f>
        <v>Dual Flex</v>
      </c>
    </row>
    <row r="272" spans="1:7" x14ac:dyDescent="0.45">
      <c r="A272">
        <v>271</v>
      </c>
      <c r="B272" t="s">
        <v>24</v>
      </c>
      <c r="C272">
        <v>0</v>
      </c>
      <c r="D272">
        <v>24.69</v>
      </c>
      <c r="E272" t="s">
        <v>18</v>
      </c>
      <c r="F272">
        <v>24</v>
      </c>
      <c r="G272" t="str">
        <f>VLOOKUP(getslopes[[#This Row],[Column1.projectId]],projects[],2,FALSE)</f>
        <v>Dual Flex</v>
      </c>
    </row>
    <row r="273" spans="1:7" x14ac:dyDescent="0.45">
      <c r="A273">
        <v>272</v>
      </c>
      <c r="B273" t="s">
        <v>14</v>
      </c>
      <c r="C273">
        <v>8</v>
      </c>
      <c r="D273">
        <v>0</v>
      </c>
      <c r="E273" t="s">
        <v>18</v>
      </c>
      <c r="F273">
        <v>24</v>
      </c>
      <c r="G273" t="str">
        <f>VLOOKUP(getslopes[[#This Row],[Column1.projectId]],projects[],2,FALSE)</f>
        <v>Dual Flex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DC272-3481-44A7-AAEB-D574ECD98ADA}">
  <sheetPr codeName="Sheet2"/>
  <dimension ref="A1:I247"/>
  <sheetViews>
    <sheetView topLeftCell="C1" workbookViewId="0">
      <selection activeCell="I2" sqref="I2:I247"/>
    </sheetView>
  </sheetViews>
  <sheetFormatPr defaultRowHeight="14.25" x14ac:dyDescent="0.45"/>
  <cols>
    <col min="1" max="1" width="17.06640625" bestFit="1" customWidth="1"/>
    <col min="2" max="2" width="29.9296875" bestFit="1" customWidth="1"/>
    <col min="3" max="3" width="14.796875" bestFit="1" customWidth="1"/>
    <col min="4" max="4" width="19.46484375" bestFit="1" customWidth="1"/>
    <col min="5" max="5" width="23.59765625" bestFit="1" customWidth="1"/>
    <col min="6" max="6" width="25.06640625" bestFit="1" customWidth="1"/>
    <col min="7" max="7" width="16.59765625" bestFit="1" customWidth="1"/>
    <col min="8" max="8" width="18.1328125" bestFit="1" customWidth="1"/>
    <col min="9" max="9" width="10" bestFit="1" customWidth="1"/>
  </cols>
  <sheetData>
    <row r="1" spans="1:9" x14ac:dyDescent="0.45">
      <c r="A1" t="s">
        <v>367</v>
      </c>
      <c r="B1" t="s">
        <v>368</v>
      </c>
      <c r="C1" t="s">
        <v>369</v>
      </c>
      <c r="D1" t="s">
        <v>370</v>
      </c>
      <c r="E1" t="s">
        <v>371</v>
      </c>
      <c r="F1" t="s">
        <v>372</v>
      </c>
      <c r="G1" t="s">
        <v>373</v>
      </c>
      <c r="H1" t="s">
        <v>5</v>
      </c>
      <c r="I1" t="s">
        <v>506</v>
      </c>
    </row>
    <row r="2" spans="1:9" x14ac:dyDescent="0.45">
      <c r="A2">
        <v>1</v>
      </c>
      <c r="B2" t="s">
        <v>374</v>
      </c>
      <c r="D2">
        <v>1.819</v>
      </c>
      <c r="E2">
        <v>56</v>
      </c>
      <c r="F2" t="s">
        <v>375</v>
      </c>
      <c r="G2" t="s">
        <v>376</v>
      </c>
      <c r="H2">
        <v>1</v>
      </c>
    </row>
    <row r="3" spans="1:9" x14ac:dyDescent="0.45">
      <c r="A3">
        <v>2</v>
      </c>
      <c r="B3" t="s">
        <v>377</v>
      </c>
      <c r="D3">
        <v>1.44</v>
      </c>
      <c r="E3">
        <v>56</v>
      </c>
      <c r="F3" t="s">
        <v>375</v>
      </c>
      <c r="G3" t="s">
        <v>376</v>
      </c>
      <c r="H3">
        <v>1</v>
      </c>
    </row>
    <row r="4" spans="1:9" x14ac:dyDescent="0.45">
      <c r="A4">
        <v>3</v>
      </c>
      <c r="B4" t="s">
        <v>378</v>
      </c>
      <c r="D4">
        <v>1.08</v>
      </c>
      <c r="E4">
        <v>56</v>
      </c>
      <c r="F4" t="s">
        <v>375</v>
      </c>
      <c r="G4" t="s">
        <v>376</v>
      </c>
      <c r="H4">
        <v>1</v>
      </c>
    </row>
    <row r="5" spans="1:9" x14ac:dyDescent="0.45">
      <c r="A5">
        <v>4</v>
      </c>
      <c r="B5" t="s">
        <v>379</v>
      </c>
      <c r="D5">
        <v>0.87975400000000004</v>
      </c>
      <c r="E5">
        <v>56</v>
      </c>
      <c r="F5" t="s">
        <v>375</v>
      </c>
      <c r="G5" t="s">
        <v>376</v>
      </c>
      <c r="H5">
        <v>1</v>
      </c>
    </row>
    <row r="6" spans="1:9" x14ac:dyDescent="0.45">
      <c r="A6">
        <v>5</v>
      </c>
      <c r="B6" t="s">
        <v>380</v>
      </c>
      <c r="D6">
        <v>0.82399999999999995</v>
      </c>
      <c r="E6">
        <v>56</v>
      </c>
      <c r="F6" t="s">
        <v>375</v>
      </c>
      <c r="G6" t="s">
        <v>376</v>
      </c>
      <c r="H6">
        <v>1</v>
      </c>
    </row>
    <row r="7" spans="1:9" x14ac:dyDescent="0.45">
      <c r="A7">
        <v>6</v>
      </c>
      <c r="B7" t="s">
        <v>381</v>
      </c>
      <c r="D7">
        <v>0.66749999999999998</v>
      </c>
      <c r="E7">
        <v>56</v>
      </c>
      <c r="F7" t="s">
        <v>375</v>
      </c>
      <c r="G7" t="s">
        <v>376</v>
      </c>
      <c r="H7">
        <v>1</v>
      </c>
    </row>
    <row r="8" spans="1:9" x14ac:dyDescent="0.45">
      <c r="A8">
        <v>7</v>
      </c>
      <c r="B8" t="s">
        <v>382</v>
      </c>
      <c r="D8">
        <v>1.819</v>
      </c>
      <c r="E8">
        <v>80</v>
      </c>
      <c r="F8" t="s">
        <v>375</v>
      </c>
      <c r="G8" t="s">
        <v>376</v>
      </c>
      <c r="H8">
        <v>1</v>
      </c>
    </row>
    <row r="9" spans="1:9" x14ac:dyDescent="0.45">
      <c r="A9">
        <v>8</v>
      </c>
      <c r="B9" t="s">
        <v>383</v>
      </c>
      <c r="D9">
        <v>1.44</v>
      </c>
      <c r="E9">
        <v>80</v>
      </c>
      <c r="F9" t="s">
        <v>375</v>
      </c>
      <c r="G9" t="s">
        <v>376</v>
      </c>
      <c r="H9">
        <v>1</v>
      </c>
    </row>
    <row r="10" spans="1:9" x14ac:dyDescent="0.45">
      <c r="A10">
        <v>9</v>
      </c>
      <c r="B10" t="s">
        <v>384</v>
      </c>
      <c r="C10">
        <v>135</v>
      </c>
      <c r="D10">
        <v>1.08</v>
      </c>
      <c r="E10">
        <v>80</v>
      </c>
      <c r="F10" t="s">
        <v>375</v>
      </c>
      <c r="G10" t="s">
        <v>376</v>
      </c>
      <c r="H10">
        <v>1</v>
      </c>
    </row>
    <row r="11" spans="1:9" x14ac:dyDescent="0.45">
      <c r="A11">
        <v>10</v>
      </c>
      <c r="B11" t="s">
        <v>385</v>
      </c>
      <c r="C11">
        <v>240</v>
      </c>
      <c r="D11">
        <v>0.64</v>
      </c>
      <c r="E11">
        <v>80</v>
      </c>
      <c r="F11" t="s">
        <v>375</v>
      </c>
      <c r="G11" t="s">
        <v>376</v>
      </c>
      <c r="H11">
        <v>1</v>
      </c>
    </row>
    <row r="12" spans="1:9" x14ac:dyDescent="0.45">
      <c r="A12">
        <v>11</v>
      </c>
      <c r="B12" t="s">
        <v>386</v>
      </c>
      <c r="D12">
        <v>14.445</v>
      </c>
      <c r="E12">
        <v>12</v>
      </c>
      <c r="F12" t="s">
        <v>375</v>
      </c>
      <c r="G12" t="s">
        <v>376</v>
      </c>
      <c r="H12">
        <v>1</v>
      </c>
    </row>
    <row r="13" spans="1:9" x14ac:dyDescent="0.45">
      <c r="A13">
        <v>12</v>
      </c>
      <c r="B13" t="s">
        <v>387</v>
      </c>
      <c r="D13">
        <v>59.92</v>
      </c>
      <c r="E13">
        <v>2</v>
      </c>
      <c r="F13" t="s">
        <v>375</v>
      </c>
      <c r="G13" t="s">
        <v>376</v>
      </c>
      <c r="H13">
        <v>1</v>
      </c>
    </row>
    <row r="14" spans="1:9" x14ac:dyDescent="0.45">
      <c r="A14">
        <v>13</v>
      </c>
      <c r="B14" t="s">
        <v>388</v>
      </c>
      <c r="D14">
        <v>47.615000000000002</v>
      </c>
      <c r="E14">
        <v>2</v>
      </c>
      <c r="F14" t="s">
        <v>375</v>
      </c>
      <c r="G14" t="s">
        <v>376</v>
      </c>
      <c r="H14">
        <v>1</v>
      </c>
    </row>
    <row r="15" spans="1:9" x14ac:dyDescent="0.45">
      <c r="A15">
        <v>14</v>
      </c>
      <c r="B15" t="s">
        <v>389</v>
      </c>
      <c r="D15">
        <v>43.067500000000003</v>
      </c>
      <c r="E15">
        <v>2</v>
      </c>
      <c r="F15" t="s">
        <v>375</v>
      </c>
      <c r="G15" t="s">
        <v>376</v>
      </c>
      <c r="H15">
        <v>1</v>
      </c>
    </row>
    <row r="16" spans="1:9" x14ac:dyDescent="0.45">
      <c r="A16">
        <v>15</v>
      </c>
      <c r="B16" t="s">
        <v>390</v>
      </c>
      <c r="D16">
        <v>37.25</v>
      </c>
      <c r="E16">
        <v>2</v>
      </c>
      <c r="F16" t="s">
        <v>375</v>
      </c>
      <c r="G16" t="s">
        <v>376</v>
      </c>
      <c r="H16">
        <v>1</v>
      </c>
    </row>
    <row r="17" spans="1:8" x14ac:dyDescent="0.45">
      <c r="A17">
        <v>16</v>
      </c>
      <c r="B17" t="s">
        <v>391</v>
      </c>
      <c r="D17">
        <v>37.25</v>
      </c>
      <c r="E17">
        <v>2</v>
      </c>
      <c r="F17" t="s">
        <v>375</v>
      </c>
      <c r="G17" t="s">
        <v>376</v>
      </c>
      <c r="H17">
        <v>1</v>
      </c>
    </row>
    <row r="18" spans="1:8" x14ac:dyDescent="0.45">
      <c r="A18">
        <v>17</v>
      </c>
      <c r="B18" t="s">
        <v>392</v>
      </c>
      <c r="D18">
        <v>37.25</v>
      </c>
      <c r="E18">
        <v>2</v>
      </c>
      <c r="F18" t="s">
        <v>375</v>
      </c>
      <c r="G18" t="s">
        <v>376</v>
      </c>
      <c r="H18">
        <v>1</v>
      </c>
    </row>
    <row r="19" spans="1:8" x14ac:dyDescent="0.45">
      <c r="A19">
        <v>18</v>
      </c>
      <c r="B19" t="s">
        <v>393</v>
      </c>
      <c r="D19">
        <v>48.6</v>
      </c>
      <c r="E19">
        <v>2</v>
      </c>
      <c r="F19" t="s">
        <v>375</v>
      </c>
      <c r="G19" t="s">
        <v>376</v>
      </c>
      <c r="H19">
        <v>1</v>
      </c>
    </row>
    <row r="20" spans="1:8" x14ac:dyDescent="0.45">
      <c r="A20">
        <v>19</v>
      </c>
      <c r="B20" t="s">
        <v>394</v>
      </c>
      <c r="D20">
        <v>51</v>
      </c>
      <c r="E20">
        <v>2</v>
      </c>
      <c r="F20" t="s">
        <v>375</v>
      </c>
      <c r="G20" t="s">
        <v>376</v>
      </c>
      <c r="H20">
        <v>1</v>
      </c>
    </row>
    <row r="21" spans="1:8" x14ac:dyDescent="0.45">
      <c r="A21">
        <v>20</v>
      </c>
      <c r="B21" t="s">
        <v>395</v>
      </c>
      <c r="D21">
        <v>57.75</v>
      </c>
      <c r="E21">
        <v>2</v>
      </c>
      <c r="F21" t="s">
        <v>375</v>
      </c>
      <c r="G21" t="s">
        <v>376</v>
      </c>
      <c r="H21">
        <v>1</v>
      </c>
    </row>
    <row r="22" spans="1:8" x14ac:dyDescent="0.45">
      <c r="A22">
        <v>21</v>
      </c>
      <c r="B22" t="s">
        <v>396</v>
      </c>
      <c r="D22">
        <v>6.9015000000000004</v>
      </c>
      <c r="E22">
        <v>12</v>
      </c>
      <c r="F22" t="s">
        <v>375</v>
      </c>
      <c r="G22" t="s">
        <v>376</v>
      </c>
      <c r="H22">
        <v>1</v>
      </c>
    </row>
    <row r="23" spans="1:8" x14ac:dyDescent="0.45">
      <c r="A23">
        <v>22</v>
      </c>
      <c r="B23" t="s">
        <v>397</v>
      </c>
      <c r="D23">
        <v>6.9015000000000004</v>
      </c>
      <c r="E23">
        <v>12</v>
      </c>
      <c r="F23" t="s">
        <v>375</v>
      </c>
      <c r="G23" t="s">
        <v>376</v>
      </c>
      <c r="H23">
        <v>1</v>
      </c>
    </row>
    <row r="24" spans="1:8" x14ac:dyDescent="0.45">
      <c r="A24">
        <v>23</v>
      </c>
      <c r="B24" t="s">
        <v>398</v>
      </c>
      <c r="D24">
        <v>4.2264999999999997</v>
      </c>
      <c r="E24">
        <v>12</v>
      </c>
      <c r="F24" t="s">
        <v>375</v>
      </c>
      <c r="G24" t="s">
        <v>376</v>
      </c>
      <c r="H24">
        <v>1</v>
      </c>
    </row>
    <row r="25" spans="1:8" x14ac:dyDescent="0.45">
      <c r="A25">
        <v>24</v>
      </c>
      <c r="B25" t="s">
        <v>399</v>
      </c>
      <c r="D25">
        <v>6.1524999999999999</v>
      </c>
      <c r="E25">
        <v>12</v>
      </c>
      <c r="F25" t="s">
        <v>375</v>
      </c>
      <c r="G25" t="s">
        <v>376</v>
      </c>
      <c r="H25">
        <v>1</v>
      </c>
    </row>
    <row r="26" spans="1:8" x14ac:dyDescent="0.45">
      <c r="A26">
        <v>25</v>
      </c>
      <c r="B26" t="s">
        <v>400</v>
      </c>
      <c r="D26">
        <v>35.577500000000001</v>
      </c>
      <c r="E26">
        <v>12</v>
      </c>
      <c r="F26" t="s">
        <v>375</v>
      </c>
      <c r="G26" t="s">
        <v>376</v>
      </c>
      <c r="H26">
        <v>1</v>
      </c>
    </row>
    <row r="27" spans="1:8" x14ac:dyDescent="0.45">
      <c r="A27">
        <v>26</v>
      </c>
      <c r="B27" t="s">
        <v>401</v>
      </c>
      <c r="D27">
        <v>10.7</v>
      </c>
      <c r="E27">
        <v>12</v>
      </c>
      <c r="F27" t="s">
        <v>375</v>
      </c>
      <c r="G27" t="s">
        <v>376</v>
      </c>
      <c r="H27">
        <v>1</v>
      </c>
    </row>
    <row r="28" spans="1:8" x14ac:dyDescent="0.45">
      <c r="A28">
        <v>27</v>
      </c>
      <c r="B28" t="s">
        <v>402</v>
      </c>
      <c r="D28">
        <v>13.5</v>
      </c>
      <c r="E28">
        <v>12</v>
      </c>
      <c r="F28" t="s">
        <v>375</v>
      </c>
      <c r="G28" t="s">
        <v>376</v>
      </c>
      <c r="H28">
        <v>1</v>
      </c>
    </row>
    <row r="29" spans="1:8" x14ac:dyDescent="0.45">
      <c r="A29">
        <v>28</v>
      </c>
      <c r="B29" t="s">
        <v>403</v>
      </c>
      <c r="D29">
        <v>19.5</v>
      </c>
      <c r="E29">
        <v>12</v>
      </c>
      <c r="F29" t="s">
        <v>375</v>
      </c>
      <c r="G29" t="s">
        <v>376</v>
      </c>
      <c r="H29">
        <v>1</v>
      </c>
    </row>
    <row r="30" spans="1:8" x14ac:dyDescent="0.45">
      <c r="A30">
        <v>29</v>
      </c>
      <c r="B30" t="s">
        <v>404</v>
      </c>
      <c r="D30">
        <v>13.5</v>
      </c>
      <c r="E30">
        <v>12</v>
      </c>
      <c r="F30" t="s">
        <v>375</v>
      </c>
      <c r="G30" t="s">
        <v>376</v>
      </c>
      <c r="H30">
        <v>1</v>
      </c>
    </row>
    <row r="31" spans="1:8" x14ac:dyDescent="0.45">
      <c r="A31">
        <v>30</v>
      </c>
      <c r="B31" t="s">
        <v>405</v>
      </c>
      <c r="D31">
        <v>72.599999999999994</v>
      </c>
      <c r="E31">
        <v>4</v>
      </c>
      <c r="F31" t="s">
        <v>375</v>
      </c>
      <c r="G31" t="s">
        <v>376</v>
      </c>
      <c r="H31">
        <v>1</v>
      </c>
    </row>
    <row r="32" spans="1:8" x14ac:dyDescent="0.45">
      <c r="A32">
        <v>31</v>
      </c>
      <c r="B32" t="s">
        <v>406</v>
      </c>
      <c r="D32">
        <v>39.429499999999997</v>
      </c>
      <c r="E32">
        <v>7</v>
      </c>
      <c r="F32" t="s">
        <v>375</v>
      </c>
      <c r="G32" t="s">
        <v>376</v>
      </c>
      <c r="H32">
        <v>1</v>
      </c>
    </row>
    <row r="33" spans="1:8" x14ac:dyDescent="0.45">
      <c r="A33">
        <v>32</v>
      </c>
      <c r="B33" t="s">
        <v>407</v>
      </c>
      <c r="D33">
        <v>39.429499999999997</v>
      </c>
      <c r="E33">
        <v>7</v>
      </c>
      <c r="F33" t="s">
        <v>375</v>
      </c>
      <c r="G33" t="s">
        <v>376</v>
      </c>
      <c r="H33">
        <v>1</v>
      </c>
    </row>
    <row r="34" spans="1:8" x14ac:dyDescent="0.45">
      <c r="A34">
        <v>33</v>
      </c>
      <c r="B34" t="s">
        <v>408</v>
      </c>
      <c r="D34">
        <v>40.28</v>
      </c>
      <c r="E34">
        <v>7</v>
      </c>
      <c r="F34" t="s">
        <v>375</v>
      </c>
      <c r="G34" t="s">
        <v>376</v>
      </c>
      <c r="H34">
        <v>1</v>
      </c>
    </row>
    <row r="35" spans="1:8" x14ac:dyDescent="0.45">
      <c r="A35">
        <v>34</v>
      </c>
      <c r="B35" t="s">
        <v>409</v>
      </c>
      <c r="D35">
        <v>52</v>
      </c>
      <c r="E35">
        <v>7</v>
      </c>
      <c r="F35" t="s">
        <v>375</v>
      </c>
      <c r="G35" t="s">
        <v>376</v>
      </c>
      <c r="H35">
        <v>1</v>
      </c>
    </row>
    <row r="36" spans="1:8" x14ac:dyDescent="0.45">
      <c r="A36">
        <v>35</v>
      </c>
      <c r="B36" t="s">
        <v>410</v>
      </c>
      <c r="D36">
        <v>39.375999999999998</v>
      </c>
      <c r="E36">
        <v>7</v>
      </c>
      <c r="F36" t="s">
        <v>375</v>
      </c>
      <c r="G36" t="s">
        <v>376</v>
      </c>
      <c r="H36">
        <v>1</v>
      </c>
    </row>
    <row r="37" spans="1:8" x14ac:dyDescent="0.45">
      <c r="A37">
        <v>36</v>
      </c>
      <c r="B37" t="s">
        <v>411</v>
      </c>
      <c r="D37">
        <v>39.375999999999998</v>
      </c>
      <c r="E37">
        <v>7</v>
      </c>
      <c r="F37" t="s">
        <v>375</v>
      </c>
      <c r="G37" t="s">
        <v>376</v>
      </c>
      <c r="H37">
        <v>1</v>
      </c>
    </row>
    <row r="38" spans="1:8" x14ac:dyDescent="0.45">
      <c r="A38">
        <v>37</v>
      </c>
      <c r="B38" t="s">
        <v>412</v>
      </c>
      <c r="D38">
        <v>12</v>
      </c>
      <c r="E38">
        <v>7</v>
      </c>
      <c r="F38" t="s">
        <v>375</v>
      </c>
      <c r="G38" t="s">
        <v>376</v>
      </c>
      <c r="H38">
        <v>1</v>
      </c>
    </row>
    <row r="39" spans="1:8" x14ac:dyDescent="0.45">
      <c r="A39">
        <v>38</v>
      </c>
      <c r="B39" t="s">
        <v>413</v>
      </c>
      <c r="C39">
        <v>1512</v>
      </c>
      <c r="D39">
        <v>0.25</v>
      </c>
      <c r="E39">
        <v>0</v>
      </c>
      <c r="F39" t="s">
        <v>375</v>
      </c>
      <c r="G39" t="s">
        <v>376</v>
      </c>
      <c r="H39">
        <v>1</v>
      </c>
    </row>
    <row r="40" spans="1:8" x14ac:dyDescent="0.45">
      <c r="A40">
        <v>39</v>
      </c>
      <c r="B40" t="s">
        <v>414</v>
      </c>
      <c r="C40">
        <v>30</v>
      </c>
      <c r="D40">
        <v>0</v>
      </c>
      <c r="E40">
        <v>4.6900000000000004</v>
      </c>
      <c r="F40" t="s">
        <v>375</v>
      </c>
      <c r="G40" t="s">
        <v>376</v>
      </c>
      <c r="H40">
        <v>1</v>
      </c>
    </row>
    <row r="41" spans="1:8" x14ac:dyDescent="0.45">
      <c r="A41">
        <v>40</v>
      </c>
      <c r="B41" t="s">
        <v>415</v>
      </c>
      <c r="D41">
        <v>0</v>
      </c>
      <c r="E41">
        <v>20</v>
      </c>
      <c r="F41" t="s">
        <v>375</v>
      </c>
      <c r="G41" t="s">
        <v>376</v>
      </c>
      <c r="H41">
        <v>1</v>
      </c>
    </row>
    <row r="42" spans="1:8" x14ac:dyDescent="0.45">
      <c r="A42">
        <v>41</v>
      </c>
      <c r="B42" t="s">
        <v>416</v>
      </c>
      <c r="D42">
        <v>13.5</v>
      </c>
      <c r="E42">
        <v>12</v>
      </c>
      <c r="F42" t="s">
        <v>375</v>
      </c>
      <c r="G42" t="s">
        <v>376</v>
      </c>
      <c r="H42">
        <v>1</v>
      </c>
    </row>
    <row r="43" spans="1:8" x14ac:dyDescent="0.45">
      <c r="A43">
        <v>42</v>
      </c>
      <c r="B43" t="s">
        <v>374</v>
      </c>
      <c r="D43">
        <v>6.3665000000000003</v>
      </c>
      <c r="E43">
        <v>56</v>
      </c>
      <c r="F43" t="s">
        <v>417</v>
      </c>
      <c r="G43" t="s">
        <v>376</v>
      </c>
      <c r="H43">
        <v>1</v>
      </c>
    </row>
    <row r="44" spans="1:8" x14ac:dyDescent="0.45">
      <c r="A44">
        <v>43</v>
      </c>
      <c r="B44" t="s">
        <v>377</v>
      </c>
      <c r="D44">
        <v>5.6174999999999997</v>
      </c>
      <c r="E44">
        <v>56</v>
      </c>
      <c r="F44" t="s">
        <v>417</v>
      </c>
      <c r="G44" t="s">
        <v>376</v>
      </c>
      <c r="H44">
        <v>1</v>
      </c>
    </row>
    <row r="45" spans="1:8" x14ac:dyDescent="0.45">
      <c r="A45">
        <v>44</v>
      </c>
      <c r="B45" t="s">
        <v>378</v>
      </c>
      <c r="D45">
        <v>5.1894999999999998</v>
      </c>
      <c r="E45">
        <v>56</v>
      </c>
      <c r="F45" t="s">
        <v>417</v>
      </c>
      <c r="G45" t="s">
        <v>376</v>
      </c>
      <c r="H45">
        <v>1</v>
      </c>
    </row>
    <row r="46" spans="1:8" x14ac:dyDescent="0.45">
      <c r="A46">
        <v>45</v>
      </c>
      <c r="B46" t="s">
        <v>379</v>
      </c>
      <c r="D46">
        <v>4.2264999999999997</v>
      </c>
      <c r="E46">
        <v>56</v>
      </c>
      <c r="F46" t="s">
        <v>417</v>
      </c>
      <c r="G46" t="s">
        <v>376</v>
      </c>
      <c r="H46">
        <v>1</v>
      </c>
    </row>
    <row r="47" spans="1:8" x14ac:dyDescent="0.45">
      <c r="A47">
        <v>46</v>
      </c>
      <c r="B47" t="s">
        <v>380</v>
      </c>
      <c r="D47">
        <v>3.7985000000000002</v>
      </c>
      <c r="E47">
        <v>56</v>
      </c>
      <c r="F47" t="s">
        <v>417</v>
      </c>
      <c r="G47" t="s">
        <v>376</v>
      </c>
      <c r="H47">
        <v>1</v>
      </c>
    </row>
    <row r="48" spans="1:8" x14ac:dyDescent="0.45">
      <c r="A48">
        <v>47</v>
      </c>
      <c r="B48" t="s">
        <v>381</v>
      </c>
      <c r="D48">
        <v>3.1564999999999999</v>
      </c>
      <c r="E48">
        <v>56</v>
      </c>
      <c r="F48" t="s">
        <v>417</v>
      </c>
      <c r="G48" t="s">
        <v>376</v>
      </c>
      <c r="H48">
        <v>1</v>
      </c>
    </row>
    <row r="49" spans="1:8" x14ac:dyDescent="0.45">
      <c r="A49">
        <v>48</v>
      </c>
      <c r="B49" t="s">
        <v>382</v>
      </c>
      <c r="D49">
        <v>6.3665000000000003</v>
      </c>
      <c r="E49">
        <v>80</v>
      </c>
      <c r="F49" t="s">
        <v>417</v>
      </c>
      <c r="G49" t="s">
        <v>376</v>
      </c>
      <c r="H49">
        <v>1</v>
      </c>
    </row>
    <row r="50" spans="1:8" x14ac:dyDescent="0.45">
      <c r="A50">
        <v>49</v>
      </c>
      <c r="B50" t="s">
        <v>383</v>
      </c>
      <c r="D50">
        <v>5.6174999999999997</v>
      </c>
      <c r="E50">
        <v>80</v>
      </c>
      <c r="F50" t="s">
        <v>417</v>
      </c>
      <c r="G50" t="s">
        <v>376</v>
      </c>
      <c r="H50">
        <v>1</v>
      </c>
    </row>
    <row r="51" spans="1:8" x14ac:dyDescent="0.45">
      <c r="A51">
        <v>50</v>
      </c>
      <c r="B51" t="s">
        <v>384</v>
      </c>
      <c r="C51">
        <v>135</v>
      </c>
      <c r="D51">
        <v>5.1894999999999998</v>
      </c>
      <c r="E51">
        <v>80</v>
      </c>
      <c r="F51" t="s">
        <v>417</v>
      </c>
      <c r="G51" t="s">
        <v>376</v>
      </c>
      <c r="H51">
        <v>1</v>
      </c>
    </row>
    <row r="52" spans="1:8" x14ac:dyDescent="0.45">
      <c r="A52">
        <v>51</v>
      </c>
      <c r="B52" t="s">
        <v>385</v>
      </c>
      <c r="C52">
        <v>240</v>
      </c>
      <c r="D52">
        <v>2.996</v>
      </c>
      <c r="E52">
        <v>80</v>
      </c>
      <c r="F52" t="s">
        <v>417</v>
      </c>
      <c r="G52" t="s">
        <v>376</v>
      </c>
      <c r="H52">
        <v>1</v>
      </c>
    </row>
    <row r="53" spans="1:8" x14ac:dyDescent="0.45">
      <c r="A53">
        <v>52</v>
      </c>
      <c r="B53" t="s">
        <v>386</v>
      </c>
      <c r="D53">
        <v>40.659999999999997</v>
      </c>
      <c r="E53">
        <v>12</v>
      </c>
      <c r="F53" t="s">
        <v>417</v>
      </c>
      <c r="G53" t="s">
        <v>376</v>
      </c>
      <c r="H53">
        <v>1</v>
      </c>
    </row>
    <row r="54" spans="1:8" x14ac:dyDescent="0.45">
      <c r="A54">
        <v>53</v>
      </c>
      <c r="B54" t="s">
        <v>387</v>
      </c>
      <c r="D54">
        <v>155.15</v>
      </c>
      <c r="E54">
        <v>2</v>
      </c>
      <c r="F54" t="s">
        <v>417</v>
      </c>
      <c r="G54" t="s">
        <v>376</v>
      </c>
      <c r="H54">
        <v>1</v>
      </c>
    </row>
    <row r="55" spans="1:8" x14ac:dyDescent="0.45">
      <c r="A55">
        <v>54</v>
      </c>
      <c r="B55" t="s">
        <v>388</v>
      </c>
      <c r="D55">
        <v>144.44999999999999</v>
      </c>
      <c r="E55">
        <v>2</v>
      </c>
      <c r="F55" t="s">
        <v>417</v>
      </c>
      <c r="G55" t="s">
        <v>376</v>
      </c>
      <c r="H55">
        <v>1</v>
      </c>
    </row>
    <row r="56" spans="1:8" x14ac:dyDescent="0.45">
      <c r="A56">
        <v>55</v>
      </c>
      <c r="B56" t="s">
        <v>389</v>
      </c>
      <c r="D56">
        <v>133.75</v>
      </c>
      <c r="E56">
        <v>2</v>
      </c>
      <c r="F56" t="s">
        <v>417</v>
      </c>
      <c r="G56" t="s">
        <v>376</v>
      </c>
      <c r="H56">
        <v>1</v>
      </c>
    </row>
    <row r="57" spans="1:8" x14ac:dyDescent="0.45">
      <c r="A57">
        <v>56</v>
      </c>
      <c r="B57" t="s">
        <v>390</v>
      </c>
      <c r="D57">
        <v>101.65</v>
      </c>
      <c r="E57">
        <v>2</v>
      </c>
      <c r="F57" t="s">
        <v>417</v>
      </c>
      <c r="G57" t="s">
        <v>376</v>
      </c>
      <c r="H57">
        <v>1</v>
      </c>
    </row>
    <row r="58" spans="1:8" x14ac:dyDescent="0.45">
      <c r="A58">
        <v>57</v>
      </c>
      <c r="B58" t="s">
        <v>391</v>
      </c>
      <c r="D58">
        <v>101.65</v>
      </c>
      <c r="E58">
        <v>2</v>
      </c>
      <c r="F58" t="s">
        <v>417</v>
      </c>
      <c r="G58" t="s">
        <v>376</v>
      </c>
      <c r="H58">
        <v>1</v>
      </c>
    </row>
    <row r="59" spans="1:8" x14ac:dyDescent="0.45">
      <c r="A59">
        <v>58</v>
      </c>
      <c r="B59" t="s">
        <v>392</v>
      </c>
      <c r="D59">
        <v>101.65</v>
      </c>
      <c r="E59">
        <v>2</v>
      </c>
      <c r="F59" t="s">
        <v>417</v>
      </c>
      <c r="G59" t="s">
        <v>376</v>
      </c>
      <c r="H59">
        <v>1</v>
      </c>
    </row>
    <row r="60" spans="1:8" x14ac:dyDescent="0.45">
      <c r="A60">
        <v>59</v>
      </c>
      <c r="B60" t="s">
        <v>393</v>
      </c>
      <c r="D60">
        <v>133.75</v>
      </c>
      <c r="E60">
        <v>2</v>
      </c>
      <c r="F60" t="s">
        <v>417</v>
      </c>
      <c r="G60" t="s">
        <v>376</v>
      </c>
      <c r="H60">
        <v>1</v>
      </c>
    </row>
    <row r="61" spans="1:8" x14ac:dyDescent="0.45">
      <c r="A61">
        <v>60</v>
      </c>
      <c r="B61" t="s">
        <v>394</v>
      </c>
      <c r="D61">
        <v>144.44999999999999</v>
      </c>
      <c r="E61">
        <v>2</v>
      </c>
      <c r="F61" t="s">
        <v>417</v>
      </c>
      <c r="G61" t="s">
        <v>376</v>
      </c>
      <c r="H61">
        <v>1</v>
      </c>
    </row>
    <row r="62" spans="1:8" x14ac:dyDescent="0.45">
      <c r="A62">
        <v>61</v>
      </c>
      <c r="B62" t="s">
        <v>395</v>
      </c>
      <c r="D62">
        <v>155.15</v>
      </c>
      <c r="E62">
        <v>2</v>
      </c>
      <c r="F62" t="s">
        <v>417</v>
      </c>
      <c r="G62" t="s">
        <v>376</v>
      </c>
      <c r="H62">
        <v>1</v>
      </c>
    </row>
    <row r="63" spans="1:8" x14ac:dyDescent="0.45">
      <c r="A63">
        <v>62</v>
      </c>
      <c r="B63" t="s">
        <v>396</v>
      </c>
      <c r="D63">
        <v>25.412500000000001</v>
      </c>
      <c r="E63">
        <v>12</v>
      </c>
      <c r="F63" t="s">
        <v>417</v>
      </c>
      <c r="G63" t="s">
        <v>376</v>
      </c>
      <c r="H63">
        <v>1</v>
      </c>
    </row>
    <row r="64" spans="1:8" x14ac:dyDescent="0.45">
      <c r="A64">
        <v>63</v>
      </c>
      <c r="B64" t="s">
        <v>397</v>
      </c>
      <c r="D64">
        <v>25.412500000000001</v>
      </c>
      <c r="E64">
        <v>12</v>
      </c>
      <c r="F64" t="s">
        <v>417</v>
      </c>
      <c r="G64" t="s">
        <v>376</v>
      </c>
      <c r="H64">
        <v>1</v>
      </c>
    </row>
    <row r="65" spans="1:8" x14ac:dyDescent="0.45">
      <c r="A65">
        <v>64</v>
      </c>
      <c r="B65" t="s">
        <v>398</v>
      </c>
      <c r="D65">
        <v>20.329999999999998</v>
      </c>
      <c r="E65">
        <v>12</v>
      </c>
      <c r="F65" t="s">
        <v>417</v>
      </c>
      <c r="G65" t="s">
        <v>376</v>
      </c>
      <c r="H65">
        <v>1</v>
      </c>
    </row>
    <row r="66" spans="1:8" x14ac:dyDescent="0.45">
      <c r="A66">
        <v>65</v>
      </c>
      <c r="B66" t="s">
        <v>399</v>
      </c>
      <c r="D66">
        <v>20.329999999999998</v>
      </c>
      <c r="E66">
        <v>12</v>
      </c>
      <c r="F66" t="s">
        <v>417</v>
      </c>
      <c r="G66" t="s">
        <v>376</v>
      </c>
      <c r="H66">
        <v>1</v>
      </c>
    </row>
    <row r="67" spans="1:8" x14ac:dyDescent="0.45">
      <c r="A67">
        <v>66</v>
      </c>
      <c r="B67" t="s">
        <v>400</v>
      </c>
      <c r="D67">
        <v>101.65</v>
      </c>
      <c r="E67">
        <v>12</v>
      </c>
      <c r="F67" t="s">
        <v>417</v>
      </c>
      <c r="G67" t="s">
        <v>376</v>
      </c>
      <c r="H67">
        <v>1</v>
      </c>
    </row>
    <row r="68" spans="1:8" x14ac:dyDescent="0.45">
      <c r="A68">
        <v>67</v>
      </c>
      <c r="B68" t="s">
        <v>401</v>
      </c>
      <c r="D68">
        <v>32.1</v>
      </c>
      <c r="E68">
        <v>12</v>
      </c>
      <c r="F68" t="s">
        <v>417</v>
      </c>
      <c r="G68" t="s">
        <v>376</v>
      </c>
      <c r="H68">
        <v>1</v>
      </c>
    </row>
    <row r="69" spans="1:8" x14ac:dyDescent="0.45">
      <c r="A69">
        <v>68</v>
      </c>
      <c r="B69" t="s">
        <v>402</v>
      </c>
      <c r="D69">
        <v>24.074999999999999</v>
      </c>
      <c r="E69">
        <v>12</v>
      </c>
      <c r="F69" t="s">
        <v>417</v>
      </c>
      <c r="G69" t="s">
        <v>376</v>
      </c>
      <c r="H69">
        <v>1</v>
      </c>
    </row>
    <row r="70" spans="1:8" x14ac:dyDescent="0.45">
      <c r="A70">
        <v>69</v>
      </c>
      <c r="B70" t="s">
        <v>403</v>
      </c>
      <c r="D70">
        <v>34.24</v>
      </c>
      <c r="E70">
        <v>12</v>
      </c>
      <c r="F70" t="s">
        <v>417</v>
      </c>
      <c r="G70" t="s">
        <v>376</v>
      </c>
      <c r="H70">
        <v>1</v>
      </c>
    </row>
    <row r="71" spans="1:8" x14ac:dyDescent="0.45">
      <c r="A71">
        <v>70</v>
      </c>
      <c r="B71" t="s">
        <v>404</v>
      </c>
      <c r="D71">
        <v>25.145</v>
      </c>
      <c r="E71">
        <v>12</v>
      </c>
      <c r="F71" t="s">
        <v>417</v>
      </c>
      <c r="G71" t="s">
        <v>376</v>
      </c>
      <c r="H71">
        <v>1</v>
      </c>
    </row>
    <row r="72" spans="1:8" x14ac:dyDescent="0.45">
      <c r="A72">
        <v>71</v>
      </c>
      <c r="B72" t="s">
        <v>405</v>
      </c>
      <c r="D72">
        <v>91.484999999999999</v>
      </c>
      <c r="E72">
        <v>4</v>
      </c>
      <c r="F72" t="s">
        <v>417</v>
      </c>
      <c r="G72" t="s">
        <v>376</v>
      </c>
      <c r="H72">
        <v>1</v>
      </c>
    </row>
    <row r="73" spans="1:8" x14ac:dyDescent="0.45">
      <c r="A73">
        <v>72</v>
      </c>
      <c r="B73" t="s">
        <v>406</v>
      </c>
      <c r="D73">
        <v>101.65</v>
      </c>
      <c r="E73">
        <v>7</v>
      </c>
      <c r="F73" t="s">
        <v>417</v>
      </c>
      <c r="G73" t="s">
        <v>376</v>
      </c>
      <c r="H73">
        <v>1</v>
      </c>
    </row>
    <row r="74" spans="1:8" x14ac:dyDescent="0.45">
      <c r="A74">
        <v>73</v>
      </c>
      <c r="B74" t="s">
        <v>407</v>
      </c>
      <c r="D74">
        <v>101.65</v>
      </c>
      <c r="E74">
        <v>7</v>
      </c>
      <c r="F74" t="s">
        <v>417</v>
      </c>
      <c r="G74" t="s">
        <v>376</v>
      </c>
      <c r="H74">
        <v>1</v>
      </c>
    </row>
    <row r="75" spans="1:8" x14ac:dyDescent="0.45">
      <c r="A75">
        <v>74</v>
      </c>
      <c r="B75" t="s">
        <v>408</v>
      </c>
      <c r="D75">
        <v>104.86</v>
      </c>
      <c r="E75">
        <v>7</v>
      </c>
      <c r="F75" t="s">
        <v>417</v>
      </c>
      <c r="G75" t="s">
        <v>376</v>
      </c>
      <c r="H75">
        <v>1</v>
      </c>
    </row>
    <row r="76" spans="1:8" x14ac:dyDescent="0.45">
      <c r="A76">
        <v>75</v>
      </c>
      <c r="B76" t="s">
        <v>409</v>
      </c>
      <c r="D76">
        <v>132.68</v>
      </c>
      <c r="E76">
        <v>7</v>
      </c>
      <c r="F76" t="s">
        <v>417</v>
      </c>
      <c r="G76" t="s">
        <v>376</v>
      </c>
      <c r="H76">
        <v>1</v>
      </c>
    </row>
    <row r="77" spans="1:8" x14ac:dyDescent="0.45">
      <c r="A77">
        <v>76</v>
      </c>
      <c r="B77" t="s">
        <v>410</v>
      </c>
      <c r="D77">
        <v>112.35</v>
      </c>
      <c r="E77">
        <v>7</v>
      </c>
      <c r="F77" t="s">
        <v>417</v>
      </c>
      <c r="G77" t="s">
        <v>376</v>
      </c>
      <c r="H77">
        <v>1</v>
      </c>
    </row>
    <row r="78" spans="1:8" x14ac:dyDescent="0.45">
      <c r="A78">
        <v>77</v>
      </c>
      <c r="B78" t="s">
        <v>411</v>
      </c>
      <c r="D78">
        <v>112.35</v>
      </c>
      <c r="E78">
        <v>7</v>
      </c>
      <c r="F78" t="s">
        <v>417</v>
      </c>
      <c r="G78" t="s">
        <v>376</v>
      </c>
      <c r="H78">
        <v>1</v>
      </c>
    </row>
    <row r="79" spans="1:8" x14ac:dyDescent="0.45">
      <c r="A79">
        <v>78</v>
      </c>
      <c r="B79" t="s">
        <v>412</v>
      </c>
      <c r="D79">
        <v>23.54</v>
      </c>
      <c r="E79">
        <v>7</v>
      </c>
      <c r="F79" t="s">
        <v>417</v>
      </c>
      <c r="G79" t="s">
        <v>376</v>
      </c>
      <c r="H79">
        <v>1</v>
      </c>
    </row>
    <row r="80" spans="1:8" x14ac:dyDescent="0.45">
      <c r="A80">
        <v>79</v>
      </c>
      <c r="B80" t="s">
        <v>413</v>
      </c>
      <c r="C80">
        <v>1512</v>
      </c>
      <c r="D80">
        <v>0</v>
      </c>
      <c r="E80">
        <v>0</v>
      </c>
      <c r="F80" t="s">
        <v>417</v>
      </c>
      <c r="G80" t="s">
        <v>376</v>
      </c>
      <c r="H80">
        <v>1</v>
      </c>
    </row>
    <row r="81" spans="1:8" x14ac:dyDescent="0.45">
      <c r="A81">
        <v>80</v>
      </c>
      <c r="B81" t="s">
        <v>414</v>
      </c>
      <c r="C81">
        <v>30</v>
      </c>
      <c r="D81">
        <v>4.6900000000000004</v>
      </c>
      <c r="E81">
        <v>0</v>
      </c>
      <c r="F81" t="s">
        <v>417</v>
      </c>
      <c r="G81" t="s">
        <v>376</v>
      </c>
      <c r="H81">
        <v>1</v>
      </c>
    </row>
    <row r="82" spans="1:8" x14ac:dyDescent="0.45">
      <c r="A82">
        <v>81</v>
      </c>
      <c r="B82" t="s">
        <v>415</v>
      </c>
      <c r="D82">
        <v>0</v>
      </c>
      <c r="E82">
        <v>20</v>
      </c>
      <c r="F82" t="s">
        <v>417</v>
      </c>
      <c r="G82" t="s">
        <v>376</v>
      </c>
      <c r="H82">
        <v>1</v>
      </c>
    </row>
    <row r="83" spans="1:8" x14ac:dyDescent="0.45">
      <c r="A83">
        <v>82</v>
      </c>
      <c r="B83" t="s">
        <v>416</v>
      </c>
      <c r="D83">
        <v>23.5</v>
      </c>
      <c r="E83">
        <v>12</v>
      </c>
      <c r="F83" t="s">
        <v>417</v>
      </c>
      <c r="G83" t="s">
        <v>376</v>
      </c>
      <c r="H83">
        <v>1</v>
      </c>
    </row>
    <row r="84" spans="1:8" x14ac:dyDescent="0.45">
      <c r="A84">
        <v>83</v>
      </c>
      <c r="B84" t="s">
        <v>374</v>
      </c>
      <c r="D84">
        <v>6.8586999999999998</v>
      </c>
      <c r="E84">
        <v>56</v>
      </c>
      <c r="F84" t="s">
        <v>418</v>
      </c>
      <c r="G84" t="s">
        <v>376</v>
      </c>
      <c r="H84">
        <v>1</v>
      </c>
    </row>
    <row r="85" spans="1:8" x14ac:dyDescent="0.45">
      <c r="A85">
        <v>84</v>
      </c>
      <c r="B85" t="s">
        <v>377</v>
      </c>
      <c r="D85">
        <v>5.9170999999999996</v>
      </c>
      <c r="E85">
        <v>56</v>
      </c>
      <c r="F85" t="s">
        <v>418</v>
      </c>
      <c r="G85" t="s">
        <v>376</v>
      </c>
      <c r="H85">
        <v>1</v>
      </c>
    </row>
    <row r="86" spans="1:8" x14ac:dyDescent="0.45">
      <c r="A86">
        <v>85</v>
      </c>
      <c r="B86" t="s">
        <v>378</v>
      </c>
      <c r="D86">
        <v>4.9969000000000001</v>
      </c>
      <c r="E86">
        <v>56</v>
      </c>
      <c r="F86" t="s">
        <v>418</v>
      </c>
      <c r="G86" t="s">
        <v>376</v>
      </c>
      <c r="H86">
        <v>1</v>
      </c>
    </row>
    <row r="87" spans="1:8" x14ac:dyDescent="0.45">
      <c r="A87">
        <v>86</v>
      </c>
      <c r="B87" t="s">
        <v>379</v>
      </c>
      <c r="D87">
        <v>5.0932000000000004</v>
      </c>
      <c r="E87">
        <v>56</v>
      </c>
      <c r="F87" t="s">
        <v>418</v>
      </c>
      <c r="G87" t="s">
        <v>376</v>
      </c>
      <c r="H87">
        <v>1</v>
      </c>
    </row>
    <row r="88" spans="1:8" x14ac:dyDescent="0.45">
      <c r="A88">
        <v>87</v>
      </c>
      <c r="B88" t="s">
        <v>380</v>
      </c>
      <c r="D88">
        <v>4.1837</v>
      </c>
      <c r="E88">
        <v>56</v>
      </c>
      <c r="F88" t="s">
        <v>418</v>
      </c>
      <c r="G88" t="s">
        <v>376</v>
      </c>
      <c r="H88">
        <v>1</v>
      </c>
    </row>
    <row r="89" spans="1:8" x14ac:dyDescent="0.45">
      <c r="A89">
        <v>88</v>
      </c>
      <c r="B89" t="s">
        <v>381</v>
      </c>
      <c r="D89">
        <v>3.2742</v>
      </c>
      <c r="E89">
        <v>56</v>
      </c>
      <c r="F89" t="s">
        <v>418</v>
      </c>
      <c r="G89" t="s">
        <v>376</v>
      </c>
      <c r="H89">
        <v>1</v>
      </c>
    </row>
    <row r="90" spans="1:8" x14ac:dyDescent="0.45">
      <c r="A90">
        <v>89</v>
      </c>
      <c r="B90" t="s">
        <v>382</v>
      </c>
      <c r="D90">
        <v>6.8586999999999998</v>
      </c>
      <c r="E90">
        <v>80</v>
      </c>
      <c r="F90" t="s">
        <v>418</v>
      </c>
      <c r="G90" t="s">
        <v>376</v>
      </c>
      <c r="H90">
        <v>1</v>
      </c>
    </row>
    <row r="91" spans="1:8" x14ac:dyDescent="0.45">
      <c r="A91">
        <v>90</v>
      </c>
      <c r="B91" t="s">
        <v>383</v>
      </c>
      <c r="D91">
        <v>5.9170999999999996</v>
      </c>
      <c r="E91">
        <v>80</v>
      </c>
      <c r="F91" t="s">
        <v>418</v>
      </c>
      <c r="G91" t="s">
        <v>376</v>
      </c>
      <c r="H91">
        <v>1</v>
      </c>
    </row>
    <row r="92" spans="1:8" x14ac:dyDescent="0.45">
      <c r="A92">
        <v>91</v>
      </c>
      <c r="B92" t="s">
        <v>384</v>
      </c>
      <c r="C92">
        <v>135</v>
      </c>
      <c r="D92">
        <v>4.9862000000000002</v>
      </c>
      <c r="E92">
        <v>80</v>
      </c>
      <c r="F92" t="s">
        <v>418</v>
      </c>
      <c r="G92" t="s">
        <v>376</v>
      </c>
      <c r="H92">
        <v>1</v>
      </c>
    </row>
    <row r="93" spans="1:8" x14ac:dyDescent="0.45">
      <c r="A93">
        <v>92</v>
      </c>
      <c r="B93" t="s">
        <v>385</v>
      </c>
      <c r="C93">
        <v>240</v>
      </c>
      <c r="D93">
        <v>4.1837</v>
      </c>
      <c r="E93">
        <v>80</v>
      </c>
      <c r="F93" t="s">
        <v>418</v>
      </c>
      <c r="G93" t="s">
        <v>376</v>
      </c>
      <c r="H93">
        <v>1</v>
      </c>
    </row>
    <row r="94" spans="1:8" x14ac:dyDescent="0.45">
      <c r="A94">
        <v>93</v>
      </c>
      <c r="B94" t="s">
        <v>386</v>
      </c>
      <c r="D94">
        <v>41.73</v>
      </c>
      <c r="E94">
        <v>12</v>
      </c>
      <c r="F94" t="s">
        <v>418</v>
      </c>
      <c r="G94" t="s">
        <v>376</v>
      </c>
      <c r="H94">
        <v>1</v>
      </c>
    </row>
    <row r="95" spans="1:8" x14ac:dyDescent="0.45">
      <c r="A95">
        <v>94</v>
      </c>
      <c r="B95" t="s">
        <v>387</v>
      </c>
      <c r="D95">
        <v>141.68940000000001</v>
      </c>
      <c r="E95">
        <v>2</v>
      </c>
      <c r="F95" t="s">
        <v>418</v>
      </c>
      <c r="G95" t="s">
        <v>376</v>
      </c>
      <c r="H95">
        <v>1</v>
      </c>
    </row>
    <row r="96" spans="1:8" x14ac:dyDescent="0.45">
      <c r="A96">
        <v>95</v>
      </c>
      <c r="B96" t="s">
        <v>388</v>
      </c>
      <c r="D96">
        <v>135.6653</v>
      </c>
      <c r="E96">
        <v>2</v>
      </c>
      <c r="F96" t="s">
        <v>418</v>
      </c>
      <c r="G96" t="s">
        <v>376</v>
      </c>
      <c r="H96">
        <v>1</v>
      </c>
    </row>
    <row r="97" spans="1:8" x14ac:dyDescent="0.45">
      <c r="A97">
        <v>96</v>
      </c>
      <c r="B97" t="s">
        <v>389</v>
      </c>
      <c r="D97">
        <v>132.42320000000001</v>
      </c>
      <c r="E97">
        <v>2</v>
      </c>
      <c r="F97" t="s">
        <v>418</v>
      </c>
      <c r="G97" t="s">
        <v>376</v>
      </c>
      <c r="H97">
        <v>1</v>
      </c>
    </row>
    <row r="98" spans="1:8" x14ac:dyDescent="0.45">
      <c r="A98">
        <v>97</v>
      </c>
      <c r="B98" t="s">
        <v>390</v>
      </c>
      <c r="D98">
        <v>124.0986</v>
      </c>
      <c r="E98">
        <v>2</v>
      </c>
      <c r="F98" t="s">
        <v>418</v>
      </c>
      <c r="G98" t="s">
        <v>376</v>
      </c>
      <c r="H98">
        <v>1</v>
      </c>
    </row>
    <row r="99" spans="1:8" x14ac:dyDescent="0.45">
      <c r="A99">
        <v>98</v>
      </c>
      <c r="B99" t="s">
        <v>391</v>
      </c>
      <c r="D99">
        <v>124.0986</v>
      </c>
      <c r="E99">
        <v>2</v>
      </c>
      <c r="F99" t="s">
        <v>418</v>
      </c>
      <c r="G99" t="s">
        <v>376</v>
      </c>
      <c r="H99">
        <v>1</v>
      </c>
    </row>
    <row r="100" spans="1:8" x14ac:dyDescent="0.45">
      <c r="A100">
        <v>99</v>
      </c>
      <c r="B100" t="s">
        <v>392</v>
      </c>
      <c r="D100">
        <v>124.0986</v>
      </c>
      <c r="E100">
        <v>2</v>
      </c>
      <c r="F100" t="s">
        <v>418</v>
      </c>
      <c r="G100" t="s">
        <v>376</v>
      </c>
      <c r="H100">
        <v>1</v>
      </c>
    </row>
    <row r="101" spans="1:8" x14ac:dyDescent="0.45">
      <c r="A101">
        <v>100</v>
      </c>
      <c r="B101" t="s">
        <v>393</v>
      </c>
      <c r="D101">
        <v>132.42320000000001</v>
      </c>
      <c r="E101">
        <v>2</v>
      </c>
      <c r="F101" t="s">
        <v>418</v>
      </c>
      <c r="G101" t="s">
        <v>376</v>
      </c>
      <c r="H101">
        <v>1</v>
      </c>
    </row>
    <row r="102" spans="1:8" x14ac:dyDescent="0.45">
      <c r="A102">
        <v>101</v>
      </c>
      <c r="B102" t="s">
        <v>394</v>
      </c>
      <c r="D102">
        <v>135.6653</v>
      </c>
      <c r="E102">
        <v>2</v>
      </c>
      <c r="F102" t="s">
        <v>418</v>
      </c>
      <c r="G102" t="s">
        <v>376</v>
      </c>
      <c r="H102">
        <v>1</v>
      </c>
    </row>
    <row r="103" spans="1:8" x14ac:dyDescent="0.45">
      <c r="A103">
        <v>102</v>
      </c>
      <c r="B103" t="s">
        <v>395</v>
      </c>
      <c r="D103">
        <v>141.68940000000001</v>
      </c>
      <c r="E103">
        <v>2</v>
      </c>
      <c r="F103" t="s">
        <v>418</v>
      </c>
      <c r="G103" t="s">
        <v>376</v>
      </c>
      <c r="H103">
        <v>1</v>
      </c>
    </row>
    <row r="104" spans="1:8" x14ac:dyDescent="0.45">
      <c r="A104">
        <v>103</v>
      </c>
      <c r="B104" t="s">
        <v>396</v>
      </c>
      <c r="D104">
        <v>28.622499999999999</v>
      </c>
      <c r="E104">
        <v>12</v>
      </c>
      <c r="F104" t="s">
        <v>418</v>
      </c>
      <c r="G104" t="s">
        <v>376</v>
      </c>
      <c r="H104">
        <v>1</v>
      </c>
    </row>
    <row r="105" spans="1:8" x14ac:dyDescent="0.45">
      <c r="A105">
        <v>104</v>
      </c>
      <c r="B105" t="s">
        <v>397</v>
      </c>
      <c r="D105">
        <v>28.625499999999999</v>
      </c>
      <c r="E105">
        <v>12</v>
      </c>
      <c r="F105" t="s">
        <v>418</v>
      </c>
      <c r="G105" t="s">
        <v>376</v>
      </c>
      <c r="H105">
        <v>1</v>
      </c>
    </row>
    <row r="106" spans="1:8" x14ac:dyDescent="0.45">
      <c r="A106">
        <v>105</v>
      </c>
      <c r="B106" t="s">
        <v>398</v>
      </c>
      <c r="D106">
        <v>20.544</v>
      </c>
      <c r="E106">
        <v>12</v>
      </c>
      <c r="F106" t="s">
        <v>418</v>
      </c>
      <c r="G106" t="s">
        <v>376</v>
      </c>
      <c r="H106">
        <v>1</v>
      </c>
    </row>
    <row r="107" spans="1:8" x14ac:dyDescent="0.45">
      <c r="A107">
        <v>106</v>
      </c>
      <c r="B107" t="s">
        <v>399</v>
      </c>
      <c r="D107">
        <v>20.544</v>
      </c>
      <c r="E107">
        <v>12</v>
      </c>
      <c r="F107" t="s">
        <v>418</v>
      </c>
      <c r="G107" t="s">
        <v>376</v>
      </c>
      <c r="H107">
        <v>1</v>
      </c>
    </row>
    <row r="108" spans="1:8" x14ac:dyDescent="0.45">
      <c r="A108">
        <v>107</v>
      </c>
      <c r="B108" t="s">
        <v>400</v>
      </c>
      <c r="D108">
        <v>124.0986</v>
      </c>
      <c r="E108">
        <v>12</v>
      </c>
      <c r="F108" t="s">
        <v>418</v>
      </c>
      <c r="G108" t="s">
        <v>376</v>
      </c>
      <c r="H108">
        <v>1</v>
      </c>
    </row>
    <row r="109" spans="1:8" x14ac:dyDescent="0.45">
      <c r="A109">
        <v>108</v>
      </c>
      <c r="B109" t="s">
        <v>401</v>
      </c>
      <c r="D109">
        <v>32.442399999999999</v>
      </c>
      <c r="E109">
        <v>12</v>
      </c>
      <c r="F109" t="s">
        <v>418</v>
      </c>
      <c r="G109" t="s">
        <v>376</v>
      </c>
      <c r="H109">
        <v>1</v>
      </c>
    </row>
    <row r="110" spans="1:8" x14ac:dyDescent="0.45">
      <c r="A110">
        <v>109</v>
      </c>
      <c r="B110" t="s">
        <v>402</v>
      </c>
      <c r="D110">
        <v>13.34076</v>
      </c>
      <c r="E110">
        <v>12</v>
      </c>
      <c r="F110" t="s">
        <v>418</v>
      </c>
      <c r="G110" t="s">
        <v>376</v>
      </c>
      <c r="H110">
        <v>1</v>
      </c>
    </row>
    <row r="111" spans="1:8" x14ac:dyDescent="0.45">
      <c r="A111">
        <v>110</v>
      </c>
      <c r="B111" t="s">
        <v>403</v>
      </c>
      <c r="D111">
        <v>34.24</v>
      </c>
      <c r="E111">
        <v>12</v>
      </c>
      <c r="F111" t="s">
        <v>418</v>
      </c>
      <c r="G111" t="s">
        <v>376</v>
      </c>
      <c r="H111">
        <v>1</v>
      </c>
    </row>
    <row r="112" spans="1:8" x14ac:dyDescent="0.45">
      <c r="A112">
        <v>111</v>
      </c>
      <c r="B112" t="s">
        <v>404</v>
      </c>
      <c r="D112">
        <v>25.68</v>
      </c>
      <c r="E112">
        <v>12</v>
      </c>
      <c r="F112" t="s">
        <v>418</v>
      </c>
      <c r="G112" t="s">
        <v>376</v>
      </c>
      <c r="H112">
        <v>1</v>
      </c>
    </row>
    <row r="113" spans="1:8" x14ac:dyDescent="0.45">
      <c r="A113">
        <v>112</v>
      </c>
      <c r="B113" t="s">
        <v>405</v>
      </c>
      <c r="D113">
        <v>43.87</v>
      </c>
      <c r="E113">
        <v>4</v>
      </c>
      <c r="F113" t="s">
        <v>418</v>
      </c>
      <c r="G113" t="s">
        <v>376</v>
      </c>
      <c r="H113">
        <v>1</v>
      </c>
    </row>
    <row r="114" spans="1:8" x14ac:dyDescent="0.45">
      <c r="A114">
        <v>113</v>
      </c>
      <c r="B114" t="s">
        <v>406</v>
      </c>
      <c r="D114">
        <v>102.72</v>
      </c>
      <c r="E114">
        <v>7</v>
      </c>
      <c r="F114" t="s">
        <v>418</v>
      </c>
      <c r="G114" t="s">
        <v>376</v>
      </c>
      <c r="H114">
        <v>1</v>
      </c>
    </row>
    <row r="115" spans="1:8" x14ac:dyDescent="0.45">
      <c r="A115">
        <v>114</v>
      </c>
      <c r="B115" t="s">
        <v>407</v>
      </c>
      <c r="D115">
        <v>102.72</v>
      </c>
      <c r="E115">
        <v>7</v>
      </c>
      <c r="F115" t="s">
        <v>418</v>
      </c>
      <c r="G115" t="s">
        <v>376</v>
      </c>
      <c r="H115">
        <v>1</v>
      </c>
    </row>
    <row r="116" spans="1:8" x14ac:dyDescent="0.45">
      <c r="A116">
        <v>115</v>
      </c>
      <c r="B116" t="s">
        <v>408</v>
      </c>
      <c r="D116">
        <v>105.93</v>
      </c>
      <c r="E116">
        <v>7</v>
      </c>
      <c r="F116" t="s">
        <v>418</v>
      </c>
      <c r="G116" t="s">
        <v>376</v>
      </c>
      <c r="H116">
        <v>1</v>
      </c>
    </row>
    <row r="117" spans="1:8" x14ac:dyDescent="0.45">
      <c r="A117">
        <v>116</v>
      </c>
      <c r="B117" t="s">
        <v>409</v>
      </c>
      <c r="D117">
        <v>133.75</v>
      </c>
      <c r="E117">
        <v>7</v>
      </c>
      <c r="F117" t="s">
        <v>418</v>
      </c>
      <c r="G117" t="s">
        <v>376</v>
      </c>
      <c r="H117">
        <v>1</v>
      </c>
    </row>
    <row r="118" spans="1:8" x14ac:dyDescent="0.45">
      <c r="A118">
        <v>117</v>
      </c>
      <c r="B118" t="s">
        <v>410</v>
      </c>
      <c r="D118">
        <v>112.35</v>
      </c>
      <c r="E118">
        <v>7</v>
      </c>
      <c r="F118" t="s">
        <v>418</v>
      </c>
      <c r="G118" t="s">
        <v>376</v>
      </c>
      <c r="H118">
        <v>1</v>
      </c>
    </row>
    <row r="119" spans="1:8" x14ac:dyDescent="0.45">
      <c r="A119">
        <v>118</v>
      </c>
      <c r="B119" t="s">
        <v>411</v>
      </c>
      <c r="D119">
        <v>112.35</v>
      </c>
      <c r="E119">
        <v>7</v>
      </c>
      <c r="F119" t="s">
        <v>418</v>
      </c>
      <c r="G119" t="s">
        <v>376</v>
      </c>
      <c r="H119">
        <v>1</v>
      </c>
    </row>
    <row r="120" spans="1:8" x14ac:dyDescent="0.45">
      <c r="A120">
        <v>119</v>
      </c>
      <c r="B120" t="s">
        <v>412</v>
      </c>
      <c r="D120">
        <v>23.54</v>
      </c>
      <c r="E120">
        <v>7</v>
      </c>
      <c r="F120" t="s">
        <v>418</v>
      </c>
      <c r="G120" t="s">
        <v>376</v>
      </c>
      <c r="H120">
        <v>1</v>
      </c>
    </row>
    <row r="121" spans="1:8" x14ac:dyDescent="0.45">
      <c r="A121">
        <v>120</v>
      </c>
      <c r="B121" t="s">
        <v>413</v>
      </c>
      <c r="C121">
        <v>1512</v>
      </c>
      <c r="D121">
        <v>0</v>
      </c>
      <c r="E121">
        <v>0</v>
      </c>
      <c r="F121" t="s">
        <v>418</v>
      </c>
      <c r="G121" t="s">
        <v>376</v>
      </c>
      <c r="H121">
        <v>1</v>
      </c>
    </row>
    <row r="122" spans="1:8" x14ac:dyDescent="0.45">
      <c r="A122">
        <v>121</v>
      </c>
      <c r="B122" t="s">
        <v>414</v>
      </c>
      <c r="C122">
        <v>30</v>
      </c>
      <c r="D122">
        <v>0</v>
      </c>
      <c r="E122">
        <v>0</v>
      </c>
      <c r="F122" t="s">
        <v>418</v>
      </c>
      <c r="G122" t="s">
        <v>376</v>
      </c>
      <c r="H122">
        <v>1</v>
      </c>
    </row>
    <row r="123" spans="1:8" x14ac:dyDescent="0.45">
      <c r="A123">
        <v>122</v>
      </c>
      <c r="B123" t="s">
        <v>415</v>
      </c>
      <c r="D123">
        <v>0</v>
      </c>
      <c r="E123">
        <v>20</v>
      </c>
      <c r="F123" t="s">
        <v>418</v>
      </c>
      <c r="G123" t="s">
        <v>376</v>
      </c>
      <c r="H123">
        <v>1</v>
      </c>
    </row>
    <row r="124" spans="1:8" x14ac:dyDescent="0.45">
      <c r="A124">
        <v>123</v>
      </c>
      <c r="B124" t="s">
        <v>416</v>
      </c>
      <c r="D124">
        <v>24</v>
      </c>
      <c r="E124">
        <v>12</v>
      </c>
      <c r="F124" t="s">
        <v>418</v>
      </c>
      <c r="G124" t="s">
        <v>376</v>
      </c>
      <c r="H124">
        <v>1</v>
      </c>
    </row>
    <row r="125" spans="1:8" x14ac:dyDescent="0.45">
      <c r="A125">
        <v>124</v>
      </c>
      <c r="B125" t="s">
        <v>374</v>
      </c>
      <c r="D125">
        <v>2.5234999999999999</v>
      </c>
      <c r="E125">
        <v>56</v>
      </c>
      <c r="F125" t="s">
        <v>375</v>
      </c>
      <c r="G125" t="s">
        <v>419</v>
      </c>
      <c r="H125">
        <v>1</v>
      </c>
    </row>
    <row r="126" spans="1:8" x14ac:dyDescent="0.45">
      <c r="A126">
        <v>125</v>
      </c>
      <c r="B126" t="s">
        <v>377</v>
      </c>
      <c r="D126">
        <v>1.8746</v>
      </c>
      <c r="E126">
        <v>56</v>
      </c>
      <c r="F126" t="s">
        <v>375</v>
      </c>
      <c r="G126" t="s">
        <v>419</v>
      </c>
      <c r="H126">
        <v>1</v>
      </c>
    </row>
    <row r="127" spans="1:8" x14ac:dyDescent="0.45">
      <c r="A127">
        <v>126</v>
      </c>
      <c r="B127" t="s">
        <v>378</v>
      </c>
      <c r="D127">
        <v>1.6686000000000001</v>
      </c>
      <c r="E127">
        <v>56</v>
      </c>
      <c r="F127" t="s">
        <v>375</v>
      </c>
      <c r="G127" t="s">
        <v>419</v>
      </c>
      <c r="H127">
        <v>1</v>
      </c>
    </row>
    <row r="128" spans="1:8" x14ac:dyDescent="0.45">
      <c r="A128">
        <v>127</v>
      </c>
      <c r="B128" t="s">
        <v>379</v>
      </c>
      <c r="D128">
        <v>1.5965</v>
      </c>
      <c r="E128">
        <v>56</v>
      </c>
      <c r="F128" t="s">
        <v>375</v>
      </c>
      <c r="G128" t="s">
        <v>419</v>
      </c>
      <c r="H128">
        <v>1</v>
      </c>
    </row>
    <row r="129" spans="1:8" x14ac:dyDescent="0.45">
      <c r="A129">
        <v>128</v>
      </c>
      <c r="B129" t="s">
        <v>380</v>
      </c>
      <c r="D129">
        <v>1.3492999999999999</v>
      </c>
      <c r="E129">
        <v>56</v>
      </c>
      <c r="F129" t="s">
        <v>375</v>
      </c>
      <c r="G129" t="s">
        <v>419</v>
      </c>
      <c r="H129">
        <v>1</v>
      </c>
    </row>
    <row r="130" spans="1:8" x14ac:dyDescent="0.45">
      <c r="A130">
        <v>129</v>
      </c>
      <c r="B130" t="s">
        <v>381</v>
      </c>
      <c r="D130">
        <v>1.133</v>
      </c>
      <c r="E130">
        <v>56</v>
      </c>
      <c r="F130" t="s">
        <v>375</v>
      </c>
      <c r="G130" t="s">
        <v>419</v>
      </c>
      <c r="H130">
        <v>1</v>
      </c>
    </row>
    <row r="131" spans="1:8" x14ac:dyDescent="0.45">
      <c r="A131">
        <v>130</v>
      </c>
      <c r="B131" t="s">
        <v>382</v>
      </c>
      <c r="D131">
        <v>2.5234999999999999</v>
      </c>
      <c r="E131">
        <v>80</v>
      </c>
      <c r="F131" t="s">
        <v>375</v>
      </c>
      <c r="G131" t="s">
        <v>419</v>
      </c>
      <c r="H131">
        <v>1</v>
      </c>
    </row>
    <row r="132" spans="1:8" x14ac:dyDescent="0.45">
      <c r="A132">
        <v>131</v>
      </c>
      <c r="B132" t="s">
        <v>383</v>
      </c>
      <c r="D132">
        <v>1.8746</v>
      </c>
      <c r="E132">
        <v>80</v>
      </c>
      <c r="F132" t="s">
        <v>375</v>
      </c>
      <c r="G132" t="s">
        <v>419</v>
      </c>
      <c r="H132">
        <v>1</v>
      </c>
    </row>
    <row r="133" spans="1:8" x14ac:dyDescent="0.45">
      <c r="A133">
        <v>132</v>
      </c>
      <c r="B133" t="s">
        <v>384</v>
      </c>
      <c r="C133">
        <v>135</v>
      </c>
      <c r="D133">
        <v>1.6686000000000001</v>
      </c>
      <c r="E133">
        <v>80</v>
      </c>
      <c r="F133" t="s">
        <v>375</v>
      </c>
      <c r="G133" t="s">
        <v>419</v>
      </c>
      <c r="H133">
        <v>1</v>
      </c>
    </row>
    <row r="134" spans="1:8" x14ac:dyDescent="0.45">
      <c r="A134">
        <v>133</v>
      </c>
      <c r="B134" t="s">
        <v>385</v>
      </c>
      <c r="C134">
        <v>240</v>
      </c>
      <c r="D134">
        <v>1.3492999999999999</v>
      </c>
      <c r="E134">
        <v>80</v>
      </c>
      <c r="F134" t="s">
        <v>375</v>
      </c>
      <c r="G134" t="s">
        <v>419</v>
      </c>
      <c r="H134">
        <v>1</v>
      </c>
    </row>
    <row r="135" spans="1:8" x14ac:dyDescent="0.45">
      <c r="A135">
        <v>134</v>
      </c>
      <c r="B135" t="s">
        <v>386</v>
      </c>
      <c r="D135">
        <v>18.024999999999999</v>
      </c>
      <c r="E135">
        <v>12</v>
      </c>
      <c r="F135" t="s">
        <v>375</v>
      </c>
      <c r="G135" t="s">
        <v>419</v>
      </c>
      <c r="H135">
        <v>1</v>
      </c>
    </row>
    <row r="136" spans="1:8" x14ac:dyDescent="0.45">
      <c r="A136">
        <v>135</v>
      </c>
      <c r="B136" t="s">
        <v>387</v>
      </c>
      <c r="D136">
        <v>132.04599999999999</v>
      </c>
      <c r="E136">
        <v>2</v>
      </c>
      <c r="F136" t="s">
        <v>375</v>
      </c>
      <c r="G136" t="s">
        <v>419</v>
      </c>
      <c r="H136">
        <v>1</v>
      </c>
    </row>
    <row r="137" spans="1:8" x14ac:dyDescent="0.45">
      <c r="A137">
        <v>136</v>
      </c>
      <c r="B137" t="s">
        <v>388</v>
      </c>
      <c r="D137">
        <v>124.012</v>
      </c>
      <c r="E137">
        <v>2</v>
      </c>
      <c r="F137" t="s">
        <v>375</v>
      </c>
      <c r="G137" t="s">
        <v>419</v>
      </c>
      <c r="H137">
        <v>1</v>
      </c>
    </row>
    <row r="138" spans="1:8" x14ac:dyDescent="0.45">
      <c r="A138">
        <v>137</v>
      </c>
      <c r="B138" t="s">
        <v>389</v>
      </c>
      <c r="D138">
        <v>121.334</v>
      </c>
      <c r="E138">
        <v>2</v>
      </c>
      <c r="F138" t="s">
        <v>375</v>
      </c>
      <c r="G138" t="s">
        <v>419</v>
      </c>
      <c r="H138">
        <v>1</v>
      </c>
    </row>
    <row r="139" spans="1:8" x14ac:dyDescent="0.45">
      <c r="A139">
        <v>138</v>
      </c>
      <c r="B139" t="s">
        <v>390</v>
      </c>
      <c r="D139">
        <v>110.004</v>
      </c>
      <c r="E139">
        <v>2</v>
      </c>
      <c r="F139" t="s">
        <v>375</v>
      </c>
      <c r="G139" t="s">
        <v>419</v>
      </c>
      <c r="H139">
        <v>1</v>
      </c>
    </row>
    <row r="140" spans="1:8" x14ac:dyDescent="0.45">
      <c r="A140">
        <v>139</v>
      </c>
      <c r="B140" t="s">
        <v>391</v>
      </c>
      <c r="D140">
        <v>110.004</v>
      </c>
      <c r="E140">
        <v>2</v>
      </c>
      <c r="F140" t="s">
        <v>375</v>
      </c>
      <c r="G140" t="s">
        <v>419</v>
      </c>
      <c r="H140">
        <v>1</v>
      </c>
    </row>
    <row r="141" spans="1:8" x14ac:dyDescent="0.45">
      <c r="A141">
        <v>140</v>
      </c>
      <c r="B141" t="s">
        <v>392</v>
      </c>
      <c r="D141">
        <v>110.004</v>
      </c>
      <c r="E141">
        <v>2</v>
      </c>
      <c r="F141" t="s">
        <v>375</v>
      </c>
      <c r="G141" t="s">
        <v>419</v>
      </c>
      <c r="H141">
        <v>1</v>
      </c>
    </row>
    <row r="142" spans="1:8" x14ac:dyDescent="0.45">
      <c r="A142">
        <v>141</v>
      </c>
      <c r="B142" t="s">
        <v>393</v>
      </c>
      <c r="D142">
        <v>121.334</v>
      </c>
      <c r="E142">
        <v>2</v>
      </c>
      <c r="F142" t="s">
        <v>375</v>
      </c>
      <c r="G142" t="s">
        <v>419</v>
      </c>
      <c r="H142">
        <v>1</v>
      </c>
    </row>
    <row r="143" spans="1:8" x14ac:dyDescent="0.45">
      <c r="A143">
        <v>142</v>
      </c>
      <c r="B143" t="s">
        <v>394</v>
      </c>
      <c r="D143">
        <v>124.012</v>
      </c>
      <c r="E143">
        <v>2</v>
      </c>
      <c r="F143" t="s">
        <v>375</v>
      </c>
      <c r="G143" t="s">
        <v>419</v>
      </c>
      <c r="H143">
        <v>1</v>
      </c>
    </row>
    <row r="144" spans="1:8" x14ac:dyDescent="0.45">
      <c r="A144">
        <v>143</v>
      </c>
      <c r="B144" t="s">
        <v>395</v>
      </c>
      <c r="D144">
        <v>132.04599999999999</v>
      </c>
      <c r="E144">
        <v>2</v>
      </c>
      <c r="F144" t="s">
        <v>375</v>
      </c>
      <c r="G144" t="s">
        <v>419</v>
      </c>
      <c r="H144">
        <v>1</v>
      </c>
    </row>
    <row r="145" spans="1:8" x14ac:dyDescent="0.45">
      <c r="A145">
        <v>144</v>
      </c>
      <c r="B145" t="s">
        <v>396</v>
      </c>
      <c r="D145">
        <v>9.4863</v>
      </c>
      <c r="E145">
        <v>12</v>
      </c>
      <c r="F145" t="s">
        <v>375</v>
      </c>
      <c r="G145" t="s">
        <v>419</v>
      </c>
      <c r="H145">
        <v>1</v>
      </c>
    </row>
    <row r="146" spans="1:8" x14ac:dyDescent="0.45">
      <c r="A146">
        <v>145</v>
      </c>
      <c r="B146" t="s">
        <v>397</v>
      </c>
      <c r="D146">
        <v>9.4863</v>
      </c>
      <c r="E146">
        <v>12</v>
      </c>
      <c r="F146" t="s">
        <v>375</v>
      </c>
      <c r="G146" t="s">
        <v>419</v>
      </c>
      <c r="H146">
        <v>1</v>
      </c>
    </row>
    <row r="147" spans="1:8" x14ac:dyDescent="0.45">
      <c r="A147">
        <v>146</v>
      </c>
      <c r="B147" t="s">
        <v>398</v>
      </c>
      <c r="D147">
        <v>5.8194999999999997</v>
      </c>
      <c r="E147">
        <v>12</v>
      </c>
      <c r="F147" t="s">
        <v>375</v>
      </c>
      <c r="G147" t="s">
        <v>419</v>
      </c>
      <c r="H147">
        <v>1</v>
      </c>
    </row>
    <row r="148" spans="1:8" x14ac:dyDescent="0.45">
      <c r="A148">
        <v>147</v>
      </c>
      <c r="B148" t="s">
        <v>399</v>
      </c>
      <c r="D148">
        <v>8.4975000000000005</v>
      </c>
      <c r="E148">
        <v>12</v>
      </c>
      <c r="F148" t="s">
        <v>375</v>
      </c>
      <c r="G148" t="s">
        <v>419</v>
      </c>
      <c r="H148">
        <v>1</v>
      </c>
    </row>
    <row r="149" spans="1:8" x14ac:dyDescent="0.45">
      <c r="A149">
        <v>148</v>
      </c>
      <c r="B149" t="s">
        <v>400</v>
      </c>
      <c r="D149">
        <v>110.004</v>
      </c>
      <c r="E149">
        <v>12</v>
      </c>
      <c r="F149" t="s">
        <v>375</v>
      </c>
      <c r="G149" t="s">
        <v>419</v>
      </c>
      <c r="H149">
        <v>1</v>
      </c>
    </row>
    <row r="150" spans="1:8" x14ac:dyDescent="0.45">
      <c r="A150">
        <v>149</v>
      </c>
      <c r="B150" t="s">
        <v>401</v>
      </c>
      <c r="D150">
        <v>14.728999999999999</v>
      </c>
      <c r="E150">
        <v>12</v>
      </c>
      <c r="F150" t="s">
        <v>375</v>
      </c>
      <c r="G150" t="s">
        <v>419</v>
      </c>
      <c r="H150">
        <v>1</v>
      </c>
    </row>
    <row r="151" spans="1:8" x14ac:dyDescent="0.45">
      <c r="A151">
        <v>150</v>
      </c>
      <c r="B151" t="s">
        <v>402</v>
      </c>
      <c r="D151">
        <v>19.879000000000001</v>
      </c>
      <c r="E151">
        <v>12</v>
      </c>
      <c r="F151" t="s">
        <v>375</v>
      </c>
      <c r="G151" t="s">
        <v>419</v>
      </c>
      <c r="H151">
        <v>1</v>
      </c>
    </row>
    <row r="152" spans="1:8" x14ac:dyDescent="0.45">
      <c r="A152">
        <v>151</v>
      </c>
      <c r="B152" t="s">
        <v>403</v>
      </c>
      <c r="D152">
        <v>24.72</v>
      </c>
      <c r="E152">
        <v>12</v>
      </c>
      <c r="F152" t="s">
        <v>375</v>
      </c>
      <c r="G152" t="s">
        <v>419</v>
      </c>
      <c r="H152">
        <v>1</v>
      </c>
    </row>
    <row r="153" spans="1:8" x14ac:dyDescent="0.45">
      <c r="A153">
        <v>152</v>
      </c>
      <c r="B153" t="s">
        <v>404</v>
      </c>
      <c r="D153">
        <v>24.72</v>
      </c>
      <c r="E153">
        <v>12</v>
      </c>
      <c r="F153" t="s">
        <v>375</v>
      </c>
      <c r="G153" t="s">
        <v>419</v>
      </c>
      <c r="H153">
        <v>1</v>
      </c>
    </row>
    <row r="154" spans="1:8" x14ac:dyDescent="0.45">
      <c r="A154">
        <v>153</v>
      </c>
      <c r="B154" t="s">
        <v>405</v>
      </c>
      <c r="D154">
        <v>42.23</v>
      </c>
      <c r="E154">
        <v>4</v>
      </c>
      <c r="F154" t="s">
        <v>375</v>
      </c>
      <c r="G154" t="s">
        <v>419</v>
      </c>
      <c r="H154">
        <v>1</v>
      </c>
    </row>
    <row r="155" spans="1:8" x14ac:dyDescent="0.45">
      <c r="A155">
        <v>154</v>
      </c>
      <c r="B155" t="s">
        <v>406</v>
      </c>
      <c r="D155">
        <v>54.229500000000002</v>
      </c>
      <c r="E155">
        <v>7</v>
      </c>
      <c r="F155" t="s">
        <v>375</v>
      </c>
      <c r="G155" t="s">
        <v>419</v>
      </c>
      <c r="H155">
        <v>1</v>
      </c>
    </row>
    <row r="156" spans="1:8" x14ac:dyDescent="0.45">
      <c r="A156">
        <v>155</v>
      </c>
      <c r="B156" t="s">
        <v>407</v>
      </c>
      <c r="D156">
        <v>54.229500000000002</v>
      </c>
      <c r="E156">
        <v>7</v>
      </c>
      <c r="F156" t="s">
        <v>375</v>
      </c>
      <c r="G156" t="s">
        <v>419</v>
      </c>
      <c r="H156">
        <v>1</v>
      </c>
    </row>
    <row r="157" spans="1:8" x14ac:dyDescent="0.45">
      <c r="A157">
        <v>156</v>
      </c>
      <c r="B157" t="s">
        <v>408</v>
      </c>
      <c r="D157">
        <v>51.2425</v>
      </c>
      <c r="E157">
        <v>7</v>
      </c>
      <c r="F157" t="s">
        <v>375</v>
      </c>
      <c r="G157" t="s">
        <v>419</v>
      </c>
      <c r="H157">
        <v>1</v>
      </c>
    </row>
    <row r="158" spans="1:8" x14ac:dyDescent="0.45">
      <c r="A158">
        <v>157</v>
      </c>
      <c r="B158" t="s">
        <v>409</v>
      </c>
      <c r="D158">
        <v>46.35</v>
      </c>
      <c r="E158">
        <v>7</v>
      </c>
      <c r="F158" t="s">
        <v>375</v>
      </c>
      <c r="G158" t="s">
        <v>419</v>
      </c>
      <c r="H158">
        <v>1</v>
      </c>
    </row>
    <row r="159" spans="1:8" x14ac:dyDescent="0.45">
      <c r="A159">
        <v>158</v>
      </c>
      <c r="B159" t="s">
        <v>410</v>
      </c>
      <c r="D159">
        <v>53.56</v>
      </c>
      <c r="E159">
        <v>7</v>
      </c>
      <c r="F159" t="s">
        <v>375</v>
      </c>
      <c r="G159" t="s">
        <v>419</v>
      </c>
      <c r="H159">
        <v>1</v>
      </c>
    </row>
    <row r="160" spans="1:8" x14ac:dyDescent="0.45">
      <c r="A160">
        <v>159</v>
      </c>
      <c r="B160" t="s">
        <v>411</v>
      </c>
      <c r="D160">
        <v>53.56</v>
      </c>
      <c r="E160">
        <v>7</v>
      </c>
      <c r="F160" t="s">
        <v>375</v>
      </c>
      <c r="G160" t="s">
        <v>419</v>
      </c>
      <c r="H160">
        <v>1</v>
      </c>
    </row>
    <row r="161" spans="1:8" x14ac:dyDescent="0.45">
      <c r="A161">
        <v>160</v>
      </c>
      <c r="B161" t="s">
        <v>412</v>
      </c>
      <c r="D161">
        <v>50.47</v>
      </c>
      <c r="E161">
        <v>7</v>
      </c>
      <c r="F161" t="s">
        <v>375</v>
      </c>
      <c r="G161" t="s">
        <v>419</v>
      </c>
      <c r="H161">
        <v>1</v>
      </c>
    </row>
    <row r="162" spans="1:8" x14ac:dyDescent="0.45">
      <c r="A162">
        <v>161</v>
      </c>
      <c r="B162" t="s">
        <v>413</v>
      </c>
      <c r="C162">
        <v>1512</v>
      </c>
      <c r="D162">
        <v>0</v>
      </c>
      <c r="E162">
        <v>0</v>
      </c>
      <c r="F162" t="s">
        <v>375</v>
      </c>
      <c r="G162" t="s">
        <v>419</v>
      </c>
      <c r="H162">
        <v>1</v>
      </c>
    </row>
    <row r="163" spans="1:8" x14ac:dyDescent="0.45">
      <c r="A163">
        <v>162</v>
      </c>
      <c r="B163" t="s">
        <v>414</v>
      </c>
      <c r="C163">
        <v>30</v>
      </c>
      <c r="D163">
        <v>0</v>
      </c>
      <c r="E163">
        <v>0</v>
      </c>
      <c r="F163" t="s">
        <v>375</v>
      </c>
      <c r="G163" t="s">
        <v>419</v>
      </c>
      <c r="H163">
        <v>1</v>
      </c>
    </row>
    <row r="164" spans="1:8" x14ac:dyDescent="0.45">
      <c r="A164">
        <v>163</v>
      </c>
      <c r="B164" t="s">
        <v>415</v>
      </c>
      <c r="D164">
        <v>0</v>
      </c>
      <c r="E164">
        <v>20</v>
      </c>
      <c r="F164" t="s">
        <v>375</v>
      </c>
      <c r="G164" t="s">
        <v>419</v>
      </c>
      <c r="H164">
        <v>1</v>
      </c>
    </row>
    <row r="165" spans="1:8" x14ac:dyDescent="0.45">
      <c r="A165">
        <v>164</v>
      </c>
      <c r="B165" t="s">
        <v>416</v>
      </c>
      <c r="D165">
        <v>24</v>
      </c>
      <c r="E165">
        <v>12</v>
      </c>
      <c r="F165" t="s">
        <v>375</v>
      </c>
      <c r="G165" t="s">
        <v>419</v>
      </c>
      <c r="H165">
        <v>1</v>
      </c>
    </row>
    <row r="166" spans="1:8" x14ac:dyDescent="0.45">
      <c r="A166">
        <v>165</v>
      </c>
      <c r="B166" t="s">
        <v>374</v>
      </c>
      <c r="D166">
        <v>3.5019999999999998</v>
      </c>
      <c r="E166">
        <v>56</v>
      </c>
      <c r="F166" t="s">
        <v>417</v>
      </c>
      <c r="G166" t="s">
        <v>419</v>
      </c>
      <c r="H166">
        <v>1</v>
      </c>
    </row>
    <row r="167" spans="1:8" x14ac:dyDescent="0.45">
      <c r="A167">
        <v>166</v>
      </c>
      <c r="B167" t="s">
        <v>377</v>
      </c>
      <c r="D167">
        <v>3.0488</v>
      </c>
      <c r="E167">
        <v>56</v>
      </c>
      <c r="F167" t="s">
        <v>417</v>
      </c>
      <c r="G167" t="s">
        <v>419</v>
      </c>
      <c r="H167">
        <v>1</v>
      </c>
    </row>
    <row r="168" spans="1:8" x14ac:dyDescent="0.45">
      <c r="A168">
        <v>167</v>
      </c>
      <c r="B168" t="s">
        <v>378</v>
      </c>
      <c r="D168">
        <v>2.5956000000000001</v>
      </c>
      <c r="E168">
        <v>56</v>
      </c>
      <c r="F168" t="s">
        <v>417</v>
      </c>
      <c r="G168" t="s">
        <v>419</v>
      </c>
      <c r="H168">
        <v>1</v>
      </c>
    </row>
    <row r="169" spans="1:8" x14ac:dyDescent="0.45">
      <c r="A169">
        <v>168</v>
      </c>
      <c r="B169" t="s">
        <v>379</v>
      </c>
      <c r="D169">
        <v>2.7294999999999998</v>
      </c>
      <c r="E169">
        <v>56</v>
      </c>
      <c r="F169" t="s">
        <v>417</v>
      </c>
      <c r="G169" t="s">
        <v>419</v>
      </c>
      <c r="H169">
        <v>1</v>
      </c>
    </row>
    <row r="170" spans="1:8" x14ac:dyDescent="0.45">
      <c r="A170">
        <v>169</v>
      </c>
      <c r="B170" t="s">
        <v>380</v>
      </c>
      <c r="D170">
        <v>2.266</v>
      </c>
      <c r="E170">
        <v>56</v>
      </c>
      <c r="F170" t="s">
        <v>417</v>
      </c>
      <c r="G170" t="s">
        <v>419</v>
      </c>
      <c r="H170">
        <v>1</v>
      </c>
    </row>
    <row r="171" spans="1:8" x14ac:dyDescent="0.45">
      <c r="A171">
        <v>170</v>
      </c>
      <c r="B171" t="s">
        <v>381</v>
      </c>
      <c r="D171">
        <v>1.8128</v>
      </c>
      <c r="E171">
        <v>56</v>
      </c>
      <c r="F171" t="s">
        <v>417</v>
      </c>
      <c r="G171" t="s">
        <v>419</v>
      </c>
      <c r="H171">
        <v>1</v>
      </c>
    </row>
    <row r="172" spans="1:8" x14ac:dyDescent="0.45">
      <c r="A172">
        <v>171</v>
      </c>
      <c r="B172" t="s">
        <v>382</v>
      </c>
      <c r="D172">
        <v>3.5019999999999998</v>
      </c>
      <c r="E172">
        <v>80</v>
      </c>
      <c r="F172" t="s">
        <v>417</v>
      </c>
      <c r="G172" t="s">
        <v>419</v>
      </c>
      <c r="H172">
        <v>1</v>
      </c>
    </row>
    <row r="173" spans="1:8" x14ac:dyDescent="0.45">
      <c r="A173">
        <v>172</v>
      </c>
      <c r="B173" t="s">
        <v>383</v>
      </c>
      <c r="D173">
        <v>3.0488</v>
      </c>
      <c r="E173">
        <v>80</v>
      </c>
      <c r="F173" t="s">
        <v>417</v>
      </c>
      <c r="G173" t="s">
        <v>419</v>
      </c>
      <c r="H173">
        <v>1</v>
      </c>
    </row>
    <row r="174" spans="1:8" x14ac:dyDescent="0.45">
      <c r="A174">
        <v>173</v>
      </c>
      <c r="B174" t="s">
        <v>384</v>
      </c>
      <c r="C174">
        <v>135</v>
      </c>
      <c r="D174">
        <v>2.5956000000000001</v>
      </c>
      <c r="E174">
        <v>80</v>
      </c>
      <c r="F174" t="s">
        <v>417</v>
      </c>
      <c r="G174" t="s">
        <v>419</v>
      </c>
      <c r="H174">
        <v>1</v>
      </c>
    </row>
    <row r="175" spans="1:8" x14ac:dyDescent="0.45">
      <c r="A175">
        <v>174</v>
      </c>
      <c r="B175" t="s">
        <v>385</v>
      </c>
      <c r="C175">
        <v>240</v>
      </c>
      <c r="D175">
        <v>2.266</v>
      </c>
      <c r="E175">
        <v>80</v>
      </c>
      <c r="F175" t="s">
        <v>417</v>
      </c>
      <c r="G175" t="s">
        <v>419</v>
      </c>
      <c r="H175">
        <v>1</v>
      </c>
    </row>
    <row r="176" spans="1:8" x14ac:dyDescent="0.45">
      <c r="A176">
        <v>175</v>
      </c>
      <c r="B176" t="s">
        <v>386</v>
      </c>
      <c r="D176">
        <v>43.26</v>
      </c>
      <c r="E176">
        <v>12</v>
      </c>
      <c r="F176" t="s">
        <v>417</v>
      </c>
      <c r="G176" t="s">
        <v>419</v>
      </c>
      <c r="H176">
        <v>1</v>
      </c>
    </row>
    <row r="177" spans="1:8" x14ac:dyDescent="0.45">
      <c r="A177">
        <v>176</v>
      </c>
      <c r="B177" t="s">
        <v>387</v>
      </c>
      <c r="D177">
        <v>119.8302</v>
      </c>
      <c r="E177">
        <v>2</v>
      </c>
      <c r="F177" t="s">
        <v>417</v>
      </c>
      <c r="G177" t="s">
        <v>419</v>
      </c>
      <c r="H177">
        <v>1</v>
      </c>
    </row>
    <row r="178" spans="1:8" x14ac:dyDescent="0.45">
      <c r="A178">
        <v>177</v>
      </c>
      <c r="B178" t="s">
        <v>388</v>
      </c>
      <c r="D178">
        <v>116.5445</v>
      </c>
      <c r="E178">
        <v>2</v>
      </c>
      <c r="F178" t="s">
        <v>417</v>
      </c>
      <c r="G178" t="s">
        <v>419</v>
      </c>
      <c r="H178">
        <v>1</v>
      </c>
    </row>
    <row r="179" spans="1:8" x14ac:dyDescent="0.45">
      <c r="A179">
        <v>178</v>
      </c>
      <c r="B179" t="s">
        <v>389</v>
      </c>
      <c r="D179">
        <v>113.506</v>
      </c>
      <c r="E179">
        <v>2</v>
      </c>
      <c r="F179" t="s">
        <v>417</v>
      </c>
      <c r="G179" t="s">
        <v>419</v>
      </c>
      <c r="H179">
        <v>1</v>
      </c>
    </row>
    <row r="180" spans="1:8" x14ac:dyDescent="0.45">
      <c r="A180">
        <v>179</v>
      </c>
      <c r="B180" t="s">
        <v>390</v>
      </c>
      <c r="D180">
        <v>109.7774</v>
      </c>
      <c r="E180">
        <v>2</v>
      </c>
      <c r="F180" t="s">
        <v>417</v>
      </c>
      <c r="G180" t="s">
        <v>419</v>
      </c>
      <c r="H180">
        <v>1</v>
      </c>
    </row>
    <row r="181" spans="1:8" x14ac:dyDescent="0.45">
      <c r="A181">
        <v>180</v>
      </c>
      <c r="B181" t="s">
        <v>391</v>
      </c>
      <c r="D181">
        <v>109.7774</v>
      </c>
      <c r="E181">
        <v>2</v>
      </c>
      <c r="F181" t="s">
        <v>417</v>
      </c>
      <c r="G181" t="s">
        <v>419</v>
      </c>
      <c r="H181">
        <v>1</v>
      </c>
    </row>
    <row r="182" spans="1:8" x14ac:dyDescent="0.45">
      <c r="A182">
        <v>181</v>
      </c>
      <c r="B182" t="s">
        <v>392</v>
      </c>
      <c r="D182">
        <v>109.7774</v>
      </c>
      <c r="E182">
        <v>2</v>
      </c>
      <c r="F182" t="s">
        <v>417</v>
      </c>
      <c r="G182" t="s">
        <v>419</v>
      </c>
      <c r="H182">
        <v>1</v>
      </c>
    </row>
    <row r="183" spans="1:8" x14ac:dyDescent="0.45">
      <c r="A183">
        <v>182</v>
      </c>
      <c r="B183" t="s">
        <v>393</v>
      </c>
      <c r="D183">
        <v>113.506</v>
      </c>
      <c r="E183">
        <v>2</v>
      </c>
      <c r="F183" t="s">
        <v>417</v>
      </c>
      <c r="G183" t="s">
        <v>419</v>
      </c>
      <c r="H183">
        <v>1</v>
      </c>
    </row>
    <row r="184" spans="1:8" x14ac:dyDescent="0.45">
      <c r="A184">
        <v>183</v>
      </c>
      <c r="B184" t="s">
        <v>394</v>
      </c>
      <c r="D184">
        <v>116.5445</v>
      </c>
      <c r="E184">
        <v>2</v>
      </c>
      <c r="F184" t="s">
        <v>417</v>
      </c>
      <c r="G184" t="s">
        <v>419</v>
      </c>
      <c r="H184">
        <v>1</v>
      </c>
    </row>
    <row r="185" spans="1:8" x14ac:dyDescent="0.45">
      <c r="A185">
        <v>184</v>
      </c>
      <c r="B185" t="s">
        <v>395</v>
      </c>
      <c r="D185">
        <v>119.8302</v>
      </c>
      <c r="E185">
        <v>2</v>
      </c>
      <c r="F185" t="s">
        <v>417</v>
      </c>
      <c r="G185" t="s">
        <v>419</v>
      </c>
      <c r="H185">
        <v>1</v>
      </c>
    </row>
    <row r="186" spans="1:8" x14ac:dyDescent="0.45">
      <c r="A186">
        <v>185</v>
      </c>
      <c r="B186" t="s">
        <v>396</v>
      </c>
      <c r="D186">
        <v>30.9</v>
      </c>
      <c r="E186">
        <v>12</v>
      </c>
      <c r="F186" t="s">
        <v>417</v>
      </c>
      <c r="G186" t="s">
        <v>419</v>
      </c>
      <c r="H186">
        <v>1</v>
      </c>
    </row>
    <row r="187" spans="1:8" x14ac:dyDescent="0.45">
      <c r="A187">
        <v>186</v>
      </c>
      <c r="B187" t="s">
        <v>397</v>
      </c>
      <c r="D187">
        <v>30.9</v>
      </c>
      <c r="E187">
        <v>12</v>
      </c>
      <c r="F187" t="s">
        <v>417</v>
      </c>
      <c r="G187" t="s">
        <v>419</v>
      </c>
      <c r="H187">
        <v>1</v>
      </c>
    </row>
    <row r="188" spans="1:8" x14ac:dyDescent="0.45">
      <c r="A188">
        <v>187</v>
      </c>
      <c r="B188" t="s">
        <v>398</v>
      </c>
      <c r="D188">
        <v>22.248000000000001</v>
      </c>
      <c r="E188">
        <v>12</v>
      </c>
      <c r="F188" t="s">
        <v>417</v>
      </c>
      <c r="G188" t="s">
        <v>419</v>
      </c>
      <c r="H188">
        <v>1</v>
      </c>
    </row>
    <row r="189" spans="1:8" x14ac:dyDescent="0.45">
      <c r="A189">
        <v>188</v>
      </c>
      <c r="B189" t="s">
        <v>399</v>
      </c>
      <c r="D189">
        <v>22.248000000000001</v>
      </c>
      <c r="E189">
        <v>12</v>
      </c>
      <c r="F189" t="s">
        <v>417</v>
      </c>
      <c r="G189" t="s">
        <v>419</v>
      </c>
      <c r="H189">
        <v>1</v>
      </c>
    </row>
    <row r="190" spans="1:8" x14ac:dyDescent="0.45">
      <c r="A190">
        <v>189</v>
      </c>
      <c r="B190" t="s">
        <v>400</v>
      </c>
      <c r="D190">
        <v>109.7774</v>
      </c>
      <c r="E190">
        <v>12</v>
      </c>
      <c r="F190" t="s">
        <v>417</v>
      </c>
      <c r="G190" t="s">
        <v>419</v>
      </c>
      <c r="H190">
        <v>1</v>
      </c>
    </row>
    <row r="191" spans="1:8" x14ac:dyDescent="0.45">
      <c r="A191">
        <v>190</v>
      </c>
      <c r="B191" t="s">
        <v>401</v>
      </c>
      <c r="D191">
        <v>35.122999999999998</v>
      </c>
      <c r="E191">
        <v>12</v>
      </c>
      <c r="F191" t="s">
        <v>417</v>
      </c>
      <c r="G191" t="s">
        <v>419</v>
      </c>
      <c r="H191">
        <v>1</v>
      </c>
    </row>
    <row r="192" spans="1:8" x14ac:dyDescent="0.45">
      <c r="A192">
        <v>191</v>
      </c>
      <c r="B192" t="s">
        <v>402</v>
      </c>
      <c r="D192">
        <v>26.367999999999999</v>
      </c>
      <c r="E192">
        <v>12</v>
      </c>
      <c r="F192" t="s">
        <v>417</v>
      </c>
      <c r="G192" t="s">
        <v>419</v>
      </c>
      <c r="H192">
        <v>1</v>
      </c>
    </row>
    <row r="193" spans="1:8" x14ac:dyDescent="0.45">
      <c r="A193">
        <v>192</v>
      </c>
      <c r="B193" t="s">
        <v>403</v>
      </c>
      <c r="D193">
        <v>37.08</v>
      </c>
      <c r="E193">
        <v>12</v>
      </c>
      <c r="F193" t="s">
        <v>417</v>
      </c>
      <c r="G193" t="s">
        <v>419</v>
      </c>
      <c r="H193">
        <v>1</v>
      </c>
    </row>
    <row r="194" spans="1:8" x14ac:dyDescent="0.45">
      <c r="A194">
        <v>193</v>
      </c>
      <c r="B194" t="s">
        <v>404</v>
      </c>
      <c r="D194">
        <v>26.78</v>
      </c>
      <c r="E194">
        <v>12</v>
      </c>
      <c r="F194" t="s">
        <v>417</v>
      </c>
      <c r="G194" t="s">
        <v>419</v>
      </c>
      <c r="H194">
        <v>1</v>
      </c>
    </row>
    <row r="195" spans="1:8" x14ac:dyDescent="0.45">
      <c r="A195">
        <v>194</v>
      </c>
      <c r="B195" t="s">
        <v>405</v>
      </c>
      <c r="D195">
        <v>46.35</v>
      </c>
      <c r="E195">
        <v>4</v>
      </c>
      <c r="F195" t="s">
        <v>417</v>
      </c>
      <c r="G195" t="s">
        <v>419</v>
      </c>
      <c r="H195">
        <v>1</v>
      </c>
    </row>
    <row r="196" spans="1:8" x14ac:dyDescent="0.45">
      <c r="A196">
        <v>195</v>
      </c>
      <c r="B196" t="s">
        <v>406</v>
      </c>
      <c r="D196">
        <v>111.24</v>
      </c>
      <c r="E196">
        <v>7</v>
      </c>
      <c r="F196" t="s">
        <v>417</v>
      </c>
      <c r="G196" t="s">
        <v>419</v>
      </c>
      <c r="H196">
        <v>1</v>
      </c>
    </row>
    <row r="197" spans="1:8" x14ac:dyDescent="0.45">
      <c r="A197">
        <v>196</v>
      </c>
      <c r="B197" t="s">
        <v>407</v>
      </c>
      <c r="D197">
        <v>111.24</v>
      </c>
      <c r="E197">
        <v>7</v>
      </c>
      <c r="F197" t="s">
        <v>417</v>
      </c>
      <c r="G197" t="s">
        <v>419</v>
      </c>
      <c r="H197">
        <v>1</v>
      </c>
    </row>
    <row r="198" spans="1:8" x14ac:dyDescent="0.45">
      <c r="A198">
        <v>197</v>
      </c>
      <c r="B198" t="s">
        <v>408</v>
      </c>
      <c r="D198">
        <v>114.742</v>
      </c>
      <c r="E198">
        <v>7</v>
      </c>
      <c r="F198" t="s">
        <v>417</v>
      </c>
      <c r="G198" t="s">
        <v>419</v>
      </c>
      <c r="H198">
        <v>1</v>
      </c>
    </row>
    <row r="199" spans="1:8" x14ac:dyDescent="0.45">
      <c r="A199">
        <v>198</v>
      </c>
      <c r="B199" t="s">
        <v>409</v>
      </c>
      <c r="D199">
        <v>144.19999999999999</v>
      </c>
      <c r="E199">
        <v>7</v>
      </c>
      <c r="F199" t="s">
        <v>417</v>
      </c>
      <c r="G199" t="s">
        <v>419</v>
      </c>
      <c r="H199">
        <v>1</v>
      </c>
    </row>
    <row r="200" spans="1:8" x14ac:dyDescent="0.45">
      <c r="A200">
        <v>199</v>
      </c>
      <c r="B200" t="s">
        <v>410</v>
      </c>
      <c r="D200">
        <v>112.57</v>
      </c>
      <c r="E200">
        <v>7</v>
      </c>
      <c r="F200" t="s">
        <v>417</v>
      </c>
      <c r="G200" t="s">
        <v>419</v>
      </c>
      <c r="H200">
        <v>1</v>
      </c>
    </row>
    <row r="201" spans="1:8" x14ac:dyDescent="0.45">
      <c r="A201">
        <v>200</v>
      </c>
      <c r="B201" t="s">
        <v>411</v>
      </c>
      <c r="D201">
        <v>122.57</v>
      </c>
      <c r="E201">
        <v>7</v>
      </c>
      <c r="F201" t="s">
        <v>417</v>
      </c>
      <c r="G201" t="s">
        <v>419</v>
      </c>
      <c r="H201">
        <v>1</v>
      </c>
    </row>
    <row r="202" spans="1:8" x14ac:dyDescent="0.45">
      <c r="A202">
        <v>201</v>
      </c>
      <c r="B202" t="s">
        <v>412</v>
      </c>
      <c r="D202">
        <v>50.47</v>
      </c>
      <c r="E202">
        <v>7</v>
      </c>
      <c r="F202" t="s">
        <v>417</v>
      </c>
      <c r="G202" t="s">
        <v>419</v>
      </c>
      <c r="H202">
        <v>1</v>
      </c>
    </row>
    <row r="203" spans="1:8" x14ac:dyDescent="0.45">
      <c r="A203">
        <v>202</v>
      </c>
      <c r="B203" t="s">
        <v>413</v>
      </c>
      <c r="C203">
        <v>1512</v>
      </c>
      <c r="D203">
        <v>0</v>
      </c>
      <c r="E203">
        <v>0</v>
      </c>
      <c r="F203" t="s">
        <v>417</v>
      </c>
      <c r="G203" t="s">
        <v>419</v>
      </c>
      <c r="H203">
        <v>1</v>
      </c>
    </row>
    <row r="204" spans="1:8" x14ac:dyDescent="0.45">
      <c r="A204">
        <v>203</v>
      </c>
      <c r="B204" t="s">
        <v>414</v>
      </c>
      <c r="C204">
        <v>30</v>
      </c>
      <c r="D204">
        <v>0</v>
      </c>
      <c r="E204">
        <v>0</v>
      </c>
      <c r="F204" t="s">
        <v>417</v>
      </c>
      <c r="G204" t="s">
        <v>419</v>
      </c>
      <c r="H204">
        <v>1</v>
      </c>
    </row>
    <row r="205" spans="1:8" x14ac:dyDescent="0.45">
      <c r="A205">
        <v>204</v>
      </c>
      <c r="B205" t="s">
        <v>415</v>
      </c>
      <c r="D205">
        <v>0</v>
      </c>
      <c r="E205">
        <v>20</v>
      </c>
      <c r="F205" t="s">
        <v>417</v>
      </c>
      <c r="G205" t="s">
        <v>419</v>
      </c>
      <c r="H205">
        <v>1</v>
      </c>
    </row>
    <row r="206" spans="1:8" x14ac:dyDescent="0.45">
      <c r="A206">
        <v>205</v>
      </c>
      <c r="B206" t="s">
        <v>416</v>
      </c>
      <c r="D206">
        <v>26</v>
      </c>
      <c r="E206">
        <v>12</v>
      </c>
      <c r="F206" t="s">
        <v>417</v>
      </c>
      <c r="G206" t="s">
        <v>419</v>
      </c>
      <c r="H206">
        <v>1</v>
      </c>
    </row>
    <row r="207" spans="1:8" x14ac:dyDescent="0.45">
      <c r="A207">
        <v>206</v>
      </c>
      <c r="B207" t="s">
        <v>374</v>
      </c>
      <c r="D207">
        <v>6.6022999999999996</v>
      </c>
      <c r="E207">
        <v>56</v>
      </c>
      <c r="F207" t="s">
        <v>418</v>
      </c>
      <c r="G207" t="s">
        <v>419</v>
      </c>
      <c r="H207">
        <v>1</v>
      </c>
    </row>
    <row r="208" spans="1:8" x14ac:dyDescent="0.45">
      <c r="A208">
        <v>207</v>
      </c>
      <c r="B208" t="s">
        <v>377</v>
      </c>
      <c r="D208">
        <v>5.6959</v>
      </c>
      <c r="E208">
        <v>56</v>
      </c>
      <c r="F208" t="s">
        <v>418</v>
      </c>
      <c r="G208" t="s">
        <v>419</v>
      </c>
      <c r="H208">
        <v>1</v>
      </c>
    </row>
    <row r="209" spans="1:8" x14ac:dyDescent="0.45">
      <c r="A209">
        <v>208</v>
      </c>
      <c r="B209" t="s">
        <v>378</v>
      </c>
      <c r="D209">
        <v>4.7998000000000003</v>
      </c>
      <c r="E209">
        <v>56</v>
      </c>
      <c r="F209" t="s">
        <v>418</v>
      </c>
      <c r="G209" t="s">
        <v>419</v>
      </c>
      <c r="H209">
        <v>1</v>
      </c>
    </row>
    <row r="210" spans="1:8" x14ac:dyDescent="0.45">
      <c r="A210">
        <v>209</v>
      </c>
      <c r="B210" t="s">
        <v>379</v>
      </c>
      <c r="D210">
        <v>4.2023999999999999</v>
      </c>
      <c r="E210">
        <v>56</v>
      </c>
      <c r="F210" t="s">
        <v>418</v>
      </c>
      <c r="G210" t="s">
        <v>419</v>
      </c>
      <c r="H210">
        <v>1</v>
      </c>
    </row>
    <row r="211" spans="1:8" x14ac:dyDescent="0.45">
      <c r="A211">
        <v>210</v>
      </c>
      <c r="B211" t="s">
        <v>380</v>
      </c>
      <c r="D211">
        <v>4.0273000000000003</v>
      </c>
      <c r="E211">
        <v>56</v>
      </c>
      <c r="F211" t="s">
        <v>418</v>
      </c>
      <c r="G211" t="s">
        <v>419</v>
      </c>
      <c r="H211">
        <v>1</v>
      </c>
    </row>
    <row r="212" spans="1:8" x14ac:dyDescent="0.45">
      <c r="A212">
        <v>211</v>
      </c>
      <c r="B212" t="s">
        <v>381</v>
      </c>
      <c r="D212">
        <v>3.15</v>
      </c>
      <c r="E212">
        <v>56</v>
      </c>
      <c r="F212" t="s">
        <v>418</v>
      </c>
      <c r="G212" t="s">
        <v>419</v>
      </c>
      <c r="H212">
        <v>1</v>
      </c>
    </row>
    <row r="213" spans="1:8" x14ac:dyDescent="0.45">
      <c r="A213">
        <v>212</v>
      </c>
      <c r="B213" t="s">
        <v>382</v>
      </c>
      <c r="D213">
        <v>6.6022999999999996</v>
      </c>
      <c r="E213">
        <v>80</v>
      </c>
      <c r="F213" t="s">
        <v>418</v>
      </c>
      <c r="G213" t="s">
        <v>419</v>
      </c>
      <c r="H213">
        <v>1</v>
      </c>
    </row>
    <row r="214" spans="1:8" x14ac:dyDescent="0.45">
      <c r="A214">
        <v>213</v>
      </c>
      <c r="B214" t="s">
        <v>383</v>
      </c>
      <c r="D214">
        <v>5.6959</v>
      </c>
      <c r="E214">
        <v>80</v>
      </c>
      <c r="F214" t="s">
        <v>418</v>
      </c>
      <c r="G214" t="s">
        <v>419</v>
      </c>
      <c r="H214">
        <v>1</v>
      </c>
    </row>
    <row r="215" spans="1:8" x14ac:dyDescent="0.45">
      <c r="A215">
        <v>214</v>
      </c>
      <c r="B215" t="s">
        <v>384</v>
      </c>
      <c r="C215">
        <v>135</v>
      </c>
      <c r="D215">
        <v>4.7998000000000003</v>
      </c>
      <c r="E215">
        <v>80</v>
      </c>
      <c r="F215" t="s">
        <v>418</v>
      </c>
      <c r="G215" t="s">
        <v>419</v>
      </c>
      <c r="H215">
        <v>1</v>
      </c>
    </row>
    <row r="216" spans="1:8" x14ac:dyDescent="0.45">
      <c r="A216">
        <v>215</v>
      </c>
      <c r="B216" t="s">
        <v>385</v>
      </c>
      <c r="C216">
        <v>240</v>
      </c>
      <c r="D216">
        <v>4.0273000000000003</v>
      </c>
      <c r="E216">
        <v>80</v>
      </c>
      <c r="F216" t="s">
        <v>418</v>
      </c>
      <c r="G216" t="s">
        <v>419</v>
      </c>
      <c r="H216">
        <v>1</v>
      </c>
    </row>
    <row r="217" spans="1:8" x14ac:dyDescent="0.45">
      <c r="A217">
        <v>216</v>
      </c>
      <c r="B217" t="s">
        <v>386</v>
      </c>
      <c r="D217">
        <v>40.17</v>
      </c>
      <c r="E217">
        <v>12</v>
      </c>
      <c r="F217" t="s">
        <v>418</v>
      </c>
      <c r="G217" t="s">
        <v>419</v>
      </c>
      <c r="H217">
        <v>1</v>
      </c>
    </row>
    <row r="218" spans="1:8" x14ac:dyDescent="0.45">
      <c r="A218">
        <v>217</v>
      </c>
      <c r="B218" t="s">
        <v>387</v>
      </c>
      <c r="D218">
        <v>136.39259999999999</v>
      </c>
      <c r="E218">
        <v>2</v>
      </c>
      <c r="F218" t="s">
        <v>418</v>
      </c>
      <c r="G218" t="s">
        <v>419</v>
      </c>
      <c r="H218">
        <v>1</v>
      </c>
    </row>
    <row r="219" spans="1:8" x14ac:dyDescent="0.45">
      <c r="A219">
        <v>218</v>
      </c>
      <c r="B219" t="s">
        <v>388</v>
      </c>
      <c r="D219">
        <v>130.59370000000001</v>
      </c>
      <c r="E219">
        <v>2</v>
      </c>
      <c r="F219" t="s">
        <v>418</v>
      </c>
      <c r="G219" t="s">
        <v>419</v>
      </c>
      <c r="H219">
        <v>1</v>
      </c>
    </row>
    <row r="220" spans="1:8" x14ac:dyDescent="0.45">
      <c r="A220">
        <v>219</v>
      </c>
      <c r="B220" t="s">
        <v>389</v>
      </c>
      <c r="D220">
        <v>127.47280000000001</v>
      </c>
      <c r="E220">
        <v>2</v>
      </c>
      <c r="F220" t="s">
        <v>418</v>
      </c>
      <c r="G220" t="s">
        <v>419</v>
      </c>
      <c r="H220">
        <v>1</v>
      </c>
    </row>
    <row r="221" spans="1:8" x14ac:dyDescent="0.45">
      <c r="A221">
        <v>220</v>
      </c>
      <c r="B221" t="s">
        <v>390</v>
      </c>
      <c r="D221">
        <v>119.4594</v>
      </c>
      <c r="E221">
        <v>2</v>
      </c>
      <c r="F221" t="s">
        <v>418</v>
      </c>
      <c r="G221" t="s">
        <v>419</v>
      </c>
      <c r="H221">
        <v>1</v>
      </c>
    </row>
    <row r="222" spans="1:8" x14ac:dyDescent="0.45">
      <c r="A222">
        <v>221</v>
      </c>
      <c r="B222" t="s">
        <v>391</v>
      </c>
      <c r="D222">
        <v>119.4594</v>
      </c>
      <c r="E222">
        <v>2</v>
      </c>
      <c r="F222" t="s">
        <v>418</v>
      </c>
      <c r="G222" t="s">
        <v>419</v>
      </c>
      <c r="H222">
        <v>1</v>
      </c>
    </row>
    <row r="223" spans="1:8" x14ac:dyDescent="0.45">
      <c r="A223">
        <v>222</v>
      </c>
      <c r="B223" t="s">
        <v>392</v>
      </c>
      <c r="D223">
        <v>119.4594</v>
      </c>
      <c r="E223">
        <v>2</v>
      </c>
      <c r="F223" t="s">
        <v>418</v>
      </c>
      <c r="G223" t="s">
        <v>419</v>
      </c>
      <c r="H223">
        <v>1</v>
      </c>
    </row>
    <row r="224" spans="1:8" x14ac:dyDescent="0.45">
      <c r="A224">
        <v>223</v>
      </c>
      <c r="B224" t="s">
        <v>393</v>
      </c>
      <c r="D224">
        <v>127.47280000000001</v>
      </c>
      <c r="E224">
        <v>2</v>
      </c>
      <c r="F224" t="s">
        <v>418</v>
      </c>
      <c r="G224" t="s">
        <v>419</v>
      </c>
      <c r="H224">
        <v>1</v>
      </c>
    </row>
    <row r="225" spans="1:8" x14ac:dyDescent="0.45">
      <c r="A225">
        <v>224</v>
      </c>
      <c r="B225" t="s">
        <v>394</v>
      </c>
      <c r="D225">
        <v>130.59370000000001</v>
      </c>
      <c r="E225">
        <v>2</v>
      </c>
      <c r="F225" t="s">
        <v>418</v>
      </c>
      <c r="G225" t="s">
        <v>419</v>
      </c>
      <c r="H225">
        <v>1</v>
      </c>
    </row>
    <row r="226" spans="1:8" x14ac:dyDescent="0.45">
      <c r="A226">
        <v>225</v>
      </c>
      <c r="B226" t="s">
        <v>395</v>
      </c>
      <c r="D226">
        <v>136.39259999999999</v>
      </c>
      <c r="E226">
        <v>2</v>
      </c>
      <c r="F226" t="s">
        <v>418</v>
      </c>
      <c r="G226" t="s">
        <v>419</v>
      </c>
      <c r="H226">
        <v>1</v>
      </c>
    </row>
    <row r="227" spans="1:8" x14ac:dyDescent="0.45">
      <c r="A227">
        <v>226</v>
      </c>
      <c r="B227" t="s">
        <v>396</v>
      </c>
      <c r="D227">
        <v>27.552499999999998</v>
      </c>
      <c r="E227">
        <v>12</v>
      </c>
      <c r="F227" t="s">
        <v>418</v>
      </c>
      <c r="G227" t="s">
        <v>419</v>
      </c>
      <c r="H227">
        <v>1</v>
      </c>
    </row>
    <row r="228" spans="1:8" x14ac:dyDescent="0.45">
      <c r="A228">
        <v>227</v>
      </c>
      <c r="B228" t="s">
        <v>397</v>
      </c>
      <c r="D228">
        <v>27.552499999999998</v>
      </c>
      <c r="E228">
        <v>12</v>
      </c>
      <c r="F228" t="s">
        <v>418</v>
      </c>
      <c r="G228" t="s">
        <v>419</v>
      </c>
      <c r="H228">
        <v>1</v>
      </c>
    </row>
    <row r="229" spans="1:8" x14ac:dyDescent="0.45">
      <c r="A229">
        <v>228</v>
      </c>
      <c r="B229" t="s">
        <v>398</v>
      </c>
      <c r="D229">
        <v>19.776</v>
      </c>
      <c r="E229">
        <v>12</v>
      </c>
      <c r="F229" t="s">
        <v>418</v>
      </c>
      <c r="G229" t="s">
        <v>419</v>
      </c>
      <c r="H229">
        <v>1</v>
      </c>
    </row>
    <row r="230" spans="1:8" x14ac:dyDescent="0.45">
      <c r="A230">
        <v>229</v>
      </c>
      <c r="B230" t="s">
        <v>399</v>
      </c>
      <c r="D230">
        <v>19.776</v>
      </c>
      <c r="E230">
        <v>12</v>
      </c>
      <c r="F230" t="s">
        <v>418</v>
      </c>
      <c r="G230" t="s">
        <v>419</v>
      </c>
      <c r="H230">
        <v>1</v>
      </c>
    </row>
    <row r="231" spans="1:8" x14ac:dyDescent="0.45">
      <c r="A231">
        <v>230</v>
      </c>
      <c r="B231" t="s">
        <v>400</v>
      </c>
      <c r="D231">
        <v>119.4594</v>
      </c>
      <c r="E231">
        <v>12</v>
      </c>
      <c r="F231" t="s">
        <v>418</v>
      </c>
      <c r="G231" t="s">
        <v>419</v>
      </c>
      <c r="H231">
        <v>1</v>
      </c>
    </row>
    <row r="232" spans="1:8" x14ac:dyDescent="0.45">
      <c r="A232">
        <v>231</v>
      </c>
      <c r="B232" t="s">
        <v>401</v>
      </c>
      <c r="D232">
        <v>31.229600000000001</v>
      </c>
      <c r="E232">
        <v>12</v>
      </c>
      <c r="F232" t="s">
        <v>418</v>
      </c>
      <c r="G232" t="s">
        <v>419</v>
      </c>
      <c r="H232">
        <v>1</v>
      </c>
    </row>
    <row r="233" spans="1:8" x14ac:dyDescent="0.45">
      <c r="A233">
        <v>232</v>
      </c>
      <c r="B233" t="s">
        <v>402</v>
      </c>
      <c r="D233">
        <v>23.432500000000001</v>
      </c>
      <c r="E233">
        <v>12</v>
      </c>
      <c r="F233" t="s">
        <v>418</v>
      </c>
      <c r="G233" t="s">
        <v>419</v>
      </c>
      <c r="H233">
        <v>1</v>
      </c>
    </row>
    <row r="234" spans="1:8" x14ac:dyDescent="0.45">
      <c r="A234">
        <v>233</v>
      </c>
      <c r="B234" t="s">
        <v>403</v>
      </c>
      <c r="D234">
        <v>32.96</v>
      </c>
      <c r="E234">
        <v>12</v>
      </c>
      <c r="F234" t="s">
        <v>418</v>
      </c>
      <c r="G234" t="s">
        <v>419</v>
      </c>
      <c r="H234">
        <v>1</v>
      </c>
    </row>
    <row r="235" spans="1:8" x14ac:dyDescent="0.45">
      <c r="A235">
        <v>234</v>
      </c>
      <c r="B235" t="s">
        <v>404</v>
      </c>
      <c r="D235">
        <v>24.72</v>
      </c>
      <c r="E235">
        <v>12</v>
      </c>
      <c r="F235" t="s">
        <v>418</v>
      </c>
      <c r="G235" t="s">
        <v>419</v>
      </c>
      <c r="H235">
        <v>1</v>
      </c>
    </row>
    <row r="236" spans="1:8" x14ac:dyDescent="0.45">
      <c r="A236">
        <v>235</v>
      </c>
      <c r="B236" t="s">
        <v>405</v>
      </c>
      <c r="D236">
        <v>42.23</v>
      </c>
      <c r="E236">
        <v>4</v>
      </c>
      <c r="F236" t="s">
        <v>418</v>
      </c>
      <c r="G236" t="s">
        <v>419</v>
      </c>
      <c r="H236">
        <v>1</v>
      </c>
    </row>
    <row r="237" spans="1:8" x14ac:dyDescent="0.45">
      <c r="A237">
        <v>236</v>
      </c>
      <c r="B237" t="s">
        <v>406</v>
      </c>
      <c r="D237">
        <v>98.88</v>
      </c>
      <c r="E237">
        <v>7</v>
      </c>
      <c r="F237" t="s">
        <v>418</v>
      </c>
      <c r="G237" t="s">
        <v>419</v>
      </c>
      <c r="H237">
        <v>1</v>
      </c>
    </row>
    <row r="238" spans="1:8" x14ac:dyDescent="0.45">
      <c r="A238">
        <v>237</v>
      </c>
      <c r="B238" t="s">
        <v>407</v>
      </c>
      <c r="D238">
        <v>98.88</v>
      </c>
      <c r="E238">
        <v>7</v>
      </c>
      <c r="F238" t="s">
        <v>418</v>
      </c>
      <c r="G238" t="s">
        <v>419</v>
      </c>
      <c r="H238">
        <v>1</v>
      </c>
    </row>
    <row r="239" spans="1:8" x14ac:dyDescent="0.45">
      <c r="A239">
        <v>238</v>
      </c>
      <c r="B239" t="s">
        <v>408</v>
      </c>
      <c r="D239">
        <v>101.97</v>
      </c>
      <c r="E239">
        <v>7</v>
      </c>
      <c r="F239" t="s">
        <v>418</v>
      </c>
      <c r="G239" t="s">
        <v>419</v>
      </c>
      <c r="H239">
        <v>1</v>
      </c>
    </row>
    <row r="240" spans="1:8" x14ac:dyDescent="0.45">
      <c r="A240">
        <v>239</v>
      </c>
      <c r="B240" t="s">
        <v>409</v>
      </c>
      <c r="D240">
        <v>128.75</v>
      </c>
      <c r="E240">
        <v>7</v>
      </c>
      <c r="F240" t="s">
        <v>418</v>
      </c>
      <c r="G240" t="s">
        <v>419</v>
      </c>
      <c r="H240">
        <v>1</v>
      </c>
    </row>
    <row r="241" spans="1:8" x14ac:dyDescent="0.45">
      <c r="A241">
        <v>240</v>
      </c>
      <c r="B241" t="s">
        <v>410</v>
      </c>
      <c r="D241">
        <v>108.15</v>
      </c>
      <c r="E241">
        <v>7</v>
      </c>
      <c r="F241" t="s">
        <v>418</v>
      </c>
      <c r="G241" t="s">
        <v>419</v>
      </c>
      <c r="H241">
        <v>1</v>
      </c>
    </row>
    <row r="242" spans="1:8" x14ac:dyDescent="0.45">
      <c r="A242">
        <v>241</v>
      </c>
      <c r="B242" t="s">
        <v>411</v>
      </c>
      <c r="D242">
        <v>108.15</v>
      </c>
      <c r="E242">
        <v>7</v>
      </c>
      <c r="F242" t="s">
        <v>418</v>
      </c>
      <c r="G242" t="s">
        <v>419</v>
      </c>
      <c r="H242">
        <v>1</v>
      </c>
    </row>
    <row r="243" spans="1:8" x14ac:dyDescent="0.45">
      <c r="A243">
        <v>242</v>
      </c>
      <c r="B243" t="s">
        <v>412</v>
      </c>
      <c r="D243">
        <v>50.47</v>
      </c>
      <c r="E243">
        <v>7</v>
      </c>
      <c r="F243" t="s">
        <v>418</v>
      </c>
      <c r="G243" t="s">
        <v>419</v>
      </c>
      <c r="H243">
        <v>1</v>
      </c>
    </row>
    <row r="244" spans="1:8" x14ac:dyDescent="0.45">
      <c r="A244">
        <v>243</v>
      </c>
      <c r="B244" t="s">
        <v>413</v>
      </c>
      <c r="C244">
        <v>1512</v>
      </c>
      <c r="D244">
        <v>0</v>
      </c>
      <c r="E244">
        <v>0</v>
      </c>
      <c r="F244" t="s">
        <v>418</v>
      </c>
      <c r="G244" t="s">
        <v>419</v>
      </c>
      <c r="H244">
        <v>1</v>
      </c>
    </row>
    <row r="245" spans="1:8" x14ac:dyDescent="0.45">
      <c r="A245">
        <v>244</v>
      </c>
      <c r="B245" t="s">
        <v>414</v>
      </c>
      <c r="C245">
        <v>30</v>
      </c>
      <c r="D245">
        <v>0</v>
      </c>
      <c r="E245">
        <v>0</v>
      </c>
      <c r="F245" t="s">
        <v>418</v>
      </c>
      <c r="G245" t="s">
        <v>419</v>
      </c>
      <c r="H245">
        <v>1</v>
      </c>
    </row>
    <row r="246" spans="1:8" x14ac:dyDescent="0.45">
      <c r="A246">
        <v>245</v>
      </c>
      <c r="B246" t="s">
        <v>415</v>
      </c>
      <c r="D246">
        <v>0</v>
      </c>
      <c r="E246">
        <v>20</v>
      </c>
      <c r="F246" t="s">
        <v>418</v>
      </c>
      <c r="G246" t="s">
        <v>419</v>
      </c>
      <c r="H246">
        <v>1</v>
      </c>
    </row>
    <row r="247" spans="1:8" x14ac:dyDescent="0.45">
      <c r="A247">
        <v>246</v>
      </c>
      <c r="B247" t="s">
        <v>416</v>
      </c>
      <c r="D247">
        <v>24</v>
      </c>
      <c r="E247">
        <v>12</v>
      </c>
      <c r="F247" t="s">
        <v>418</v>
      </c>
      <c r="G247" t="s">
        <v>419</v>
      </c>
      <c r="H247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F89E2-EB47-4CE4-A3BC-27A319EB63FD}">
  <sheetPr codeName="Sheet3"/>
  <dimension ref="A1:L510"/>
  <sheetViews>
    <sheetView topLeftCell="G1" zoomScale="86" workbookViewId="0">
      <selection activeCell="L2" sqref="L2:L491"/>
    </sheetView>
  </sheetViews>
  <sheetFormatPr defaultRowHeight="14.25" x14ac:dyDescent="0.45"/>
  <cols>
    <col min="1" max="1" width="18.265625" bestFit="1" customWidth="1"/>
    <col min="2" max="2" width="19.3984375" bestFit="1" customWidth="1"/>
    <col min="3" max="3" width="80.53125" bestFit="1" customWidth="1"/>
    <col min="4" max="4" width="18.33203125" bestFit="1" customWidth="1"/>
    <col min="5" max="5" width="21.86328125" bestFit="1" customWidth="1"/>
    <col min="6" max="6" width="16.6640625" bestFit="1" customWidth="1"/>
    <col min="7" max="7" width="26.9296875" bestFit="1" customWidth="1"/>
    <col min="8" max="8" width="24.86328125" bestFit="1" customWidth="1"/>
    <col min="9" max="9" width="22.33203125" bestFit="1" customWidth="1"/>
    <col min="10" max="10" width="24.06640625" bestFit="1" customWidth="1"/>
    <col min="11" max="11" width="23.53125" bestFit="1" customWidth="1"/>
    <col min="12" max="12" width="10.265625" bestFit="1" customWidth="1"/>
  </cols>
  <sheetData>
    <row r="1" spans="1:12" x14ac:dyDescent="0.45">
      <c r="A1" t="s">
        <v>5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505</v>
      </c>
      <c r="L1" t="s">
        <v>506</v>
      </c>
    </row>
    <row r="2" spans="1:12" x14ac:dyDescent="0.45">
      <c r="A2">
        <v>1</v>
      </c>
      <c r="B2">
        <v>4</v>
      </c>
      <c r="C2" t="s">
        <v>34</v>
      </c>
      <c r="D2">
        <v>120</v>
      </c>
      <c r="E2">
        <v>28.8855</v>
      </c>
      <c r="F2">
        <v>55</v>
      </c>
      <c r="G2">
        <v>300</v>
      </c>
      <c r="H2">
        <v>0</v>
      </c>
      <c r="I2">
        <v>100</v>
      </c>
      <c r="J2">
        <v>0.75</v>
      </c>
      <c r="K2" s="11" t="str">
        <f>VLOOKUP(materials[[#This Row],[Column1.projectId]],projects[],2,FALSE)</f>
        <v>Weather Wear</v>
      </c>
    </row>
    <row r="3" spans="1:12" x14ac:dyDescent="0.45">
      <c r="A3">
        <v>1</v>
      </c>
      <c r="B3">
        <v>5</v>
      </c>
      <c r="C3" t="s">
        <v>35</v>
      </c>
      <c r="D3">
        <v>200</v>
      </c>
      <c r="E3">
        <v>25.640999999999998</v>
      </c>
      <c r="F3">
        <v>30</v>
      </c>
      <c r="G3">
        <v>360</v>
      </c>
      <c r="H3">
        <v>0</v>
      </c>
      <c r="I3">
        <v>0</v>
      </c>
      <c r="J3">
        <v>0</v>
      </c>
      <c r="K3" s="11" t="str">
        <f>VLOOKUP(materials[[#This Row],[Column1.projectId]],projects[],2,FALSE)</f>
        <v>Weather Wear</v>
      </c>
    </row>
    <row r="4" spans="1:12" x14ac:dyDescent="0.45">
      <c r="A4">
        <v>1</v>
      </c>
      <c r="B4">
        <v>6</v>
      </c>
      <c r="C4" t="s">
        <v>36</v>
      </c>
      <c r="D4">
        <v>300</v>
      </c>
      <c r="E4">
        <v>47.25</v>
      </c>
      <c r="F4">
        <v>5</v>
      </c>
      <c r="G4">
        <v>0</v>
      </c>
      <c r="H4">
        <v>0</v>
      </c>
      <c r="I4">
        <v>60</v>
      </c>
      <c r="J4">
        <v>0.75</v>
      </c>
      <c r="K4" s="11" t="str">
        <f>VLOOKUP(materials[[#This Row],[Column1.projectId]],projects[],2,FALSE)</f>
        <v>Weather Wear</v>
      </c>
    </row>
    <row r="5" spans="1:12" x14ac:dyDescent="0.45">
      <c r="A5">
        <v>1</v>
      </c>
      <c r="B5">
        <v>7</v>
      </c>
      <c r="C5" t="s">
        <v>37</v>
      </c>
      <c r="D5">
        <v>1200</v>
      </c>
      <c r="E5">
        <v>110.25</v>
      </c>
      <c r="F5">
        <v>18</v>
      </c>
      <c r="G5">
        <v>230</v>
      </c>
      <c r="H5">
        <v>0</v>
      </c>
      <c r="I5">
        <v>0</v>
      </c>
      <c r="J5">
        <v>0</v>
      </c>
      <c r="K5" s="11" t="str">
        <f>VLOOKUP(materials[[#This Row],[Column1.projectId]],projects[],2,FALSE)</f>
        <v>Weather Wear</v>
      </c>
    </row>
    <row r="6" spans="1:12" x14ac:dyDescent="0.45">
      <c r="A6">
        <v>1</v>
      </c>
      <c r="B6">
        <v>8</v>
      </c>
      <c r="C6" t="s">
        <v>38</v>
      </c>
      <c r="D6">
        <v>150</v>
      </c>
      <c r="E6">
        <v>126.78749999999999</v>
      </c>
      <c r="F6">
        <v>55</v>
      </c>
      <c r="G6">
        <v>150</v>
      </c>
      <c r="H6">
        <v>0</v>
      </c>
      <c r="I6">
        <v>0</v>
      </c>
      <c r="J6">
        <v>0.75</v>
      </c>
      <c r="K6" s="11" t="str">
        <f>VLOOKUP(materials[[#This Row],[Column1.projectId]],projects[],2,FALSE)</f>
        <v>Weather Wear</v>
      </c>
    </row>
    <row r="7" spans="1:12" x14ac:dyDescent="0.45">
      <c r="A7">
        <v>1</v>
      </c>
      <c r="B7">
        <v>9</v>
      </c>
      <c r="C7" t="s">
        <v>39</v>
      </c>
      <c r="D7">
        <v>0</v>
      </c>
      <c r="E7">
        <v>180.58949999999999</v>
      </c>
      <c r="F7">
        <v>55</v>
      </c>
      <c r="G7">
        <v>0</v>
      </c>
      <c r="H7">
        <v>0</v>
      </c>
      <c r="I7">
        <v>0</v>
      </c>
      <c r="J7">
        <v>0</v>
      </c>
      <c r="K7" s="11" t="str">
        <f>VLOOKUP(materials[[#This Row],[Column1.projectId]],projects[],2,FALSE)</f>
        <v>Weather Wear</v>
      </c>
    </row>
    <row r="8" spans="1:12" x14ac:dyDescent="0.45">
      <c r="A8">
        <v>1</v>
      </c>
      <c r="B8">
        <v>10</v>
      </c>
      <c r="C8" t="s">
        <v>40</v>
      </c>
      <c r="D8">
        <v>85</v>
      </c>
      <c r="E8">
        <v>18.963000000000001</v>
      </c>
      <c r="F8">
        <v>45</v>
      </c>
      <c r="G8">
        <v>120</v>
      </c>
      <c r="H8">
        <v>0</v>
      </c>
      <c r="I8">
        <v>50</v>
      </c>
      <c r="J8">
        <v>0.75</v>
      </c>
      <c r="K8" s="11" t="str">
        <f>VLOOKUP(materials[[#This Row],[Column1.projectId]],projects[],2,FALSE)</f>
        <v>Weather Wear</v>
      </c>
    </row>
    <row r="9" spans="1:12" x14ac:dyDescent="0.45">
      <c r="A9">
        <v>1</v>
      </c>
      <c r="B9">
        <v>11</v>
      </c>
      <c r="C9" t="s">
        <v>41</v>
      </c>
      <c r="D9">
        <v>120</v>
      </c>
      <c r="E9">
        <v>18.963000000000001</v>
      </c>
      <c r="F9">
        <v>45</v>
      </c>
      <c r="G9">
        <v>180</v>
      </c>
      <c r="H9">
        <v>0</v>
      </c>
      <c r="I9">
        <v>62</v>
      </c>
      <c r="J9">
        <v>0.75</v>
      </c>
      <c r="K9" s="11" t="str">
        <f>VLOOKUP(materials[[#This Row],[Column1.projectId]],projects[],2,FALSE)</f>
        <v>Weather Wear</v>
      </c>
    </row>
    <row r="10" spans="1:12" x14ac:dyDescent="0.45">
      <c r="A10">
        <v>1</v>
      </c>
      <c r="B10">
        <v>12</v>
      </c>
      <c r="C10" t="s">
        <v>42</v>
      </c>
      <c r="D10">
        <v>0</v>
      </c>
      <c r="E10">
        <v>113.1165</v>
      </c>
      <c r="F10">
        <v>55</v>
      </c>
      <c r="G10">
        <v>0</v>
      </c>
      <c r="H10">
        <v>100</v>
      </c>
      <c r="I10">
        <v>100</v>
      </c>
      <c r="J10">
        <v>0</v>
      </c>
      <c r="K10" s="11" t="str">
        <f>VLOOKUP(materials[[#This Row],[Column1.projectId]],projects[],2,FALSE)</f>
        <v>Weather Wear</v>
      </c>
    </row>
    <row r="11" spans="1:12" x14ac:dyDescent="0.45">
      <c r="A11">
        <v>1</v>
      </c>
      <c r="B11">
        <v>13</v>
      </c>
      <c r="C11" t="s">
        <v>43</v>
      </c>
      <c r="D11">
        <v>150</v>
      </c>
      <c r="E11">
        <v>28.8855</v>
      </c>
      <c r="F11">
        <v>55</v>
      </c>
      <c r="G11">
        <v>120</v>
      </c>
      <c r="H11">
        <v>0</v>
      </c>
      <c r="I11">
        <v>50</v>
      </c>
      <c r="J11">
        <v>0.75</v>
      </c>
      <c r="K11" s="11" t="str">
        <f>VLOOKUP(materials[[#This Row],[Column1.projectId]],projects[],2,FALSE)</f>
        <v>Weather Wear</v>
      </c>
    </row>
    <row r="12" spans="1:12" x14ac:dyDescent="0.45">
      <c r="A12">
        <v>1</v>
      </c>
      <c r="B12">
        <v>14</v>
      </c>
      <c r="C12" t="s">
        <v>44</v>
      </c>
      <c r="D12">
        <v>150</v>
      </c>
      <c r="E12">
        <v>29.767499999999998</v>
      </c>
      <c r="F12">
        <v>55</v>
      </c>
      <c r="G12">
        <v>120</v>
      </c>
      <c r="H12">
        <v>0</v>
      </c>
      <c r="I12">
        <v>62</v>
      </c>
      <c r="J12">
        <v>0.75</v>
      </c>
      <c r="K12" s="11" t="str">
        <f>VLOOKUP(materials[[#This Row],[Column1.projectId]],projects[],2,FALSE)</f>
        <v>Weather Wear</v>
      </c>
    </row>
    <row r="13" spans="1:12" x14ac:dyDescent="0.45">
      <c r="A13">
        <v>1</v>
      </c>
      <c r="B13">
        <v>15</v>
      </c>
      <c r="C13" t="s">
        <v>45</v>
      </c>
      <c r="D13">
        <v>150</v>
      </c>
      <c r="E13">
        <v>20.947500000000002</v>
      </c>
      <c r="F13">
        <v>40</v>
      </c>
      <c r="G13">
        <v>180</v>
      </c>
      <c r="H13">
        <v>0</v>
      </c>
      <c r="I13">
        <v>62</v>
      </c>
      <c r="J13">
        <v>0.75</v>
      </c>
      <c r="K13" s="11" t="str">
        <f>VLOOKUP(materials[[#This Row],[Column1.projectId]],projects[],2,FALSE)</f>
        <v>Weather Wear</v>
      </c>
    </row>
    <row r="14" spans="1:12" x14ac:dyDescent="0.45">
      <c r="A14">
        <v>1</v>
      </c>
      <c r="B14">
        <v>16</v>
      </c>
      <c r="C14" t="s">
        <v>46</v>
      </c>
      <c r="D14">
        <v>150</v>
      </c>
      <c r="E14">
        <v>22.05</v>
      </c>
      <c r="F14">
        <v>40</v>
      </c>
      <c r="G14">
        <v>180</v>
      </c>
      <c r="H14">
        <v>0</v>
      </c>
      <c r="I14">
        <v>62</v>
      </c>
      <c r="J14">
        <v>0.75</v>
      </c>
      <c r="K14" s="11" t="str">
        <f>VLOOKUP(materials[[#This Row],[Column1.projectId]],projects[],2,FALSE)</f>
        <v>Weather Wear</v>
      </c>
    </row>
    <row r="15" spans="1:12" x14ac:dyDescent="0.45">
      <c r="A15">
        <v>1</v>
      </c>
      <c r="B15">
        <v>17</v>
      </c>
      <c r="C15" t="s">
        <v>47</v>
      </c>
      <c r="D15">
        <v>800</v>
      </c>
      <c r="E15">
        <v>207.04949999999999</v>
      </c>
      <c r="F15">
        <v>55</v>
      </c>
      <c r="G15">
        <v>150</v>
      </c>
      <c r="H15">
        <v>0</v>
      </c>
      <c r="I15">
        <v>62</v>
      </c>
      <c r="J15">
        <v>0.75</v>
      </c>
      <c r="K15" s="11" t="str">
        <f>VLOOKUP(materials[[#This Row],[Column1.projectId]],projects[],2,FALSE)</f>
        <v>Weather Wear</v>
      </c>
    </row>
    <row r="16" spans="1:12" x14ac:dyDescent="0.45">
      <c r="A16">
        <v>1</v>
      </c>
      <c r="B16">
        <v>18</v>
      </c>
      <c r="C16" t="s">
        <v>48</v>
      </c>
      <c r="D16">
        <v>800</v>
      </c>
      <c r="E16">
        <v>128.01</v>
      </c>
      <c r="F16">
        <v>55</v>
      </c>
      <c r="G16">
        <v>150</v>
      </c>
      <c r="H16">
        <v>0</v>
      </c>
      <c r="I16">
        <v>62</v>
      </c>
      <c r="J16">
        <v>0.75</v>
      </c>
      <c r="K16" s="11" t="str">
        <f>VLOOKUP(materials[[#This Row],[Column1.projectId]],projects[],2,FALSE)</f>
        <v>Weather Wear</v>
      </c>
    </row>
    <row r="17" spans="1:11" x14ac:dyDescent="0.45">
      <c r="A17">
        <v>1</v>
      </c>
      <c r="B17">
        <v>19</v>
      </c>
      <c r="C17" t="s">
        <v>49</v>
      </c>
      <c r="D17">
        <v>0</v>
      </c>
      <c r="E17">
        <v>21.787500000000001</v>
      </c>
      <c r="F17">
        <v>2</v>
      </c>
      <c r="G17">
        <v>0</v>
      </c>
      <c r="H17">
        <v>0</v>
      </c>
      <c r="I17">
        <v>0</v>
      </c>
      <c r="J17">
        <v>0</v>
      </c>
      <c r="K17" s="11" t="str">
        <f>VLOOKUP(materials[[#This Row],[Column1.projectId]],projects[],2,FALSE)</f>
        <v>Weather Wear</v>
      </c>
    </row>
    <row r="18" spans="1:11" x14ac:dyDescent="0.45">
      <c r="A18">
        <v>1</v>
      </c>
      <c r="B18">
        <v>20</v>
      </c>
      <c r="C18" t="s">
        <v>50</v>
      </c>
      <c r="D18">
        <v>5000</v>
      </c>
      <c r="E18">
        <v>113.1165</v>
      </c>
      <c r="F18">
        <v>55</v>
      </c>
      <c r="G18">
        <v>180</v>
      </c>
      <c r="H18">
        <v>0</v>
      </c>
      <c r="I18">
        <v>130</v>
      </c>
      <c r="J18">
        <v>0</v>
      </c>
      <c r="K18" s="11" t="str">
        <f>VLOOKUP(materials[[#This Row],[Column1.projectId]],projects[],2,FALSE)</f>
        <v>Weather Wear</v>
      </c>
    </row>
    <row r="19" spans="1:11" x14ac:dyDescent="0.45">
      <c r="A19">
        <v>1</v>
      </c>
      <c r="B19">
        <v>21</v>
      </c>
      <c r="C19" t="s">
        <v>51</v>
      </c>
      <c r="D19">
        <v>150</v>
      </c>
      <c r="E19">
        <v>20.947500000000002</v>
      </c>
      <c r="F19">
        <v>40</v>
      </c>
      <c r="G19">
        <v>180</v>
      </c>
      <c r="H19">
        <v>0</v>
      </c>
      <c r="I19">
        <v>62</v>
      </c>
      <c r="J19">
        <v>0.75</v>
      </c>
      <c r="K19" s="11" t="str">
        <f>VLOOKUP(materials[[#This Row],[Column1.projectId]],projects[],2,FALSE)</f>
        <v>Weather Wear</v>
      </c>
    </row>
    <row r="20" spans="1:11" x14ac:dyDescent="0.45">
      <c r="A20">
        <v>1</v>
      </c>
      <c r="B20">
        <v>22</v>
      </c>
      <c r="C20" t="s">
        <v>52</v>
      </c>
      <c r="D20">
        <v>150</v>
      </c>
      <c r="E20">
        <v>22.05</v>
      </c>
      <c r="F20">
        <v>40</v>
      </c>
      <c r="G20">
        <v>180</v>
      </c>
      <c r="H20">
        <v>0</v>
      </c>
      <c r="I20">
        <v>62</v>
      </c>
      <c r="J20">
        <v>0.75</v>
      </c>
      <c r="K20" s="11" t="str">
        <f>VLOOKUP(materials[[#This Row],[Column1.projectId]],projects[],2,FALSE)</f>
        <v>Weather Wear</v>
      </c>
    </row>
    <row r="21" spans="1:11" x14ac:dyDescent="0.45">
      <c r="A21">
        <v>1</v>
      </c>
      <c r="B21">
        <v>23</v>
      </c>
      <c r="C21" t="s">
        <v>53</v>
      </c>
      <c r="D21">
        <v>800</v>
      </c>
      <c r="E21">
        <v>225.75</v>
      </c>
      <c r="F21">
        <v>55</v>
      </c>
      <c r="G21">
        <v>150</v>
      </c>
      <c r="H21">
        <v>0</v>
      </c>
      <c r="I21">
        <v>62</v>
      </c>
      <c r="J21">
        <v>0.75</v>
      </c>
      <c r="K21" s="11" t="str">
        <f>VLOOKUP(materials[[#This Row],[Column1.projectId]],projects[],2,FALSE)</f>
        <v>Weather Wear</v>
      </c>
    </row>
    <row r="22" spans="1:11" x14ac:dyDescent="0.45">
      <c r="A22">
        <v>1</v>
      </c>
      <c r="B22">
        <v>24</v>
      </c>
      <c r="C22" t="s">
        <v>54</v>
      </c>
      <c r="D22">
        <v>1</v>
      </c>
      <c r="E22">
        <v>6.0270000000000001</v>
      </c>
      <c r="F22">
        <v>0.41</v>
      </c>
      <c r="G22">
        <v>0</v>
      </c>
      <c r="H22">
        <v>0</v>
      </c>
      <c r="I22">
        <v>31.82</v>
      </c>
      <c r="J22">
        <v>0</v>
      </c>
      <c r="K22" s="11" t="str">
        <f>VLOOKUP(materials[[#This Row],[Column1.projectId]],projects[],2,FALSE)</f>
        <v>Weather Wear</v>
      </c>
    </row>
    <row r="23" spans="1:11" x14ac:dyDescent="0.45">
      <c r="A23">
        <v>1</v>
      </c>
      <c r="B23">
        <v>25</v>
      </c>
      <c r="C23" t="s">
        <v>55</v>
      </c>
      <c r="D23">
        <v>1</v>
      </c>
      <c r="E23">
        <v>6.0270000000000001</v>
      </c>
      <c r="F23">
        <v>0.41</v>
      </c>
      <c r="G23">
        <v>0</v>
      </c>
      <c r="H23">
        <v>0</v>
      </c>
      <c r="I23">
        <v>31.82</v>
      </c>
      <c r="J23">
        <v>0</v>
      </c>
      <c r="K23" s="11" t="str">
        <f>VLOOKUP(materials[[#This Row],[Column1.projectId]],projects[],2,FALSE)</f>
        <v>Weather Wear</v>
      </c>
    </row>
    <row r="24" spans="1:11" x14ac:dyDescent="0.45">
      <c r="A24">
        <v>1</v>
      </c>
      <c r="B24">
        <v>26</v>
      </c>
      <c r="C24" t="s">
        <v>56</v>
      </c>
      <c r="D24">
        <v>1</v>
      </c>
      <c r="E24">
        <v>53</v>
      </c>
      <c r="F24">
        <v>55</v>
      </c>
      <c r="G24">
        <v>10.3</v>
      </c>
      <c r="H24">
        <v>0</v>
      </c>
      <c r="I24">
        <v>0</v>
      </c>
      <c r="J24">
        <v>6.4</v>
      </c>
      <c r="K24" s="11" t="str">
        <f>VLOOKUP(materials[[#This Row],[Column1.projectId]],projects[],2,FALSE)</f>
        <v>Weather Wear</v>
      </c>
    </row>
    <row r="25" spans="1:11" x14ac:dyDescent="0.45">
      <c r="A25">
        <v>1</v>
      </c>
      <c r="B25">
        <v>27</v>
      </c>
      <c r="C25" t="s">
        <v>57</v>
      </c>
      <c r="D25">
        <v>1</v>
      </c>
      <c r="E25">
        <v>3.9375</v>
      </c>
      <c r="F25">
        <v>3</v>
      </c>
      <c r="G25">
        <v>1.8</v>
      </c>
      <c r="H25">
        <v>0</v>
      </c>
      <c r="I25">
        <v>0</v>
      </c>
      <c r="J25">
        <v>15</v>
      </c>
      <c r="K25" s="11" t="str">
        <f>VLOOKUP(materials[[#This Row],[Column1.projectId]],projects[],2,FALSE)</f>
        <v>Weather Wear</v>
      </c>
    </row>
    <row r="26" spans="1:11" x14ac:dyDescent="0.45">
      <c r="A26">
        <v>2</v>
      </c>
      <c r="B26">
        <v>30</v>
      </c>
      <c r="C26" t="s">
        <v>58</v>
      </c>
      <c r="D26">
        <v>1</v>
      </c>
      <c r="E26">
        <v>2.5000000000000001E-2</v>
      </c>
      <c r="F26">
        <v>0</v>
      </c>
      <c r="G26">
        <v>1000</v>
      </c>
      <c r="H26">
        <v>0</v>
      </c>
      <c r="I26">
        <v>0</v>
      </c>
      <c r="J26">
        <v>4</v>
      </c>
      <c r="K26" s="11" t="str">
        <f>VLOOKUP(materials[[#This Row],[Column1.projectId]],projects[],2,FALSE)</f>
        <v>Weather Wear Rehab</v>
      </c>
    </row>
    <row r="27" spans="1:11" x14ac:dyDescent="0.45">
      <c r="A27">
        <v>2</v>
      </c>
      <c r="B27">
        <v>31</v>
      </c>
      <c r="C27" t="s">
        <v>59</v>
      </c>
      <c r="D27">
        <v>1</v>
      </c>
      <c r="E27">
        <v>3</v>
      </c>
      <c r="F27">
        <v>2.5</v>
      </c>
      <c r="G27">
        <v>3.5</v>
      </c>
      <c r="H27">
        <v>0</v>
      </c>
      <c r="I27">
        <v>0</v>
      </c>
      <c r="J27">
        <v>6</v>
      </c>
      <c r="K27" s="11" t="str">
        <f>VLOOKUP(materials[[#This Row],[Column1.projectId]],projects[],2,FALSE)</f>
        <v>Weather Wear Rehab</v>
      </c>
    </row>
    <row r="28" spans="1:11" x14ac:dyDescent="0.45">
      <c r="A28">
        <v>2</v>
      </c>
      <c r="B28">
        <v>32</v>
      </c>
      <c r="C28" t="s">
        <v>60</v>
      </c>
      <c r="D28">
        <v>1</v>
      </c>
      <c r="E28">
        <v>3.5</v>
      </c>
      <c r="F28">
        <v>2.5</v>
      </c>
      <c r="G28">
        <v>12</v>
      </c>
      <c r="H28">
        <v>0</v>
      </c>
      <c r="I28">
        <v>0</v>
      </c>
      <c r="J28">
        <v>6</v>
      </c>
      <c r="K28" s="11" t="str">
        <f>VLOOKUP(materials[[#This Row],[Column1.projectId]],projects[],2,FALSE)</f>
        <v>Weather Wear Rehab</v>
      </c>
    </row>
    <row r="29" spans="1:11" x14ac:dyDescent="0.45">
      <c r="A29">
        <v>2</v>
      </c>
      <c r="B29">
        <v>33</v>
      </c>
      <c r="C29" t="s">
        <v>34</v>
      </c>
      <c r="D29">
        <v>120</v>
      </c>
      <c r="E29">
        <v>28.8855</v>
      </c>
      <c r="F29">
        <v>55</v>
      </c>
      <c r="G29">
        <v>300</v>
      </c>
      <c r="H29">
        <v>0</v>
      </c>
      <c r="I29">
        <v>100</v>
      </c>
      <c r="J29">
        <v>0.75</v>
      </c>
      <c r="K29" s="11" t="str">
        <f>VLOOKUP(materials[[#This Row],[Column1.projectId]],projects[],2,FALSE)</f>
        <v>Weather Wear Rehab</v>
      </c>
    </row>
    <row r="30" spans="1:11" x14ac:dyDescent="0.45">
      <c r="A30">
        <v>2</v>
      </c>
      <c r="B30">
        <v>34</v>
      </c>
      <c r="C30" t="s">
        <v>35</v>
      </c>
      <c r="D30">
        <v>200</v>
      </c>
      <c r="E30">
        <v>25.640999999999998</v>
      </c>
      <c r="F30">
        <v>30</v>
      </c>
      <c r="G30">
        <v>360</v>
      </c>
      <c r="H30">
        <v>0</v>
      </c>
      <c r="I30">
        <v>0</v>
      </c>
      <c r="J30">
        <v>0</v>
      </c>
      <c r="K30" s="11" t="str">
        <f>VLOOKUP(materials[[#This Row],[Column1.projectId]],projects[],2,FALSE)</f>
        <v>Weather Wear Rehab</v>
      </c>
    </row>
    <row r="31" spans="1:11" x14ac:dyDescent="0.45">
      <c r="A31">
        <v>2</v>
      </c>
      <c r="B31">
        <v>35</v>
      </c>
      <c r="C31" t="s">
        <v>36</v>
      </c>
      <c r="D31">
        <v>300</v>
      </c>
      <c r="E31">
        <v>47.25</v>
      </c>
      <c r="F31">
        <v>5</v>
      </c>
      <c r="G31">
        <v>0</v>
      </c>
      <c r="H31">
        <v>0</v>
      </c>
      <c r="I31">
        <v>60</v>
      </c>
      <c r="J31">
        <v>0.75</v>
      </c>
      <c r="K31" s="11" t="str">
        <f>VLOOKUP(materials[[#This Row],[Column1.projectId]],projects[],2,FALSE)</f>
        <v>Weather Wear Rehab</v>
      </c>
    </row>
    <row r="32" spans="1:11" x14ac:dyDescent="0.45">
      <c r="A32">
        <v>2</v>
      </c>
      <c r="B32">
        <v>36</v>
      </c>
      <c r="C32" t="s">
        <v>37</v>
      </c>
      <c r="D32">
        <v>1200</v>
      </c>
      <c r="E32">
        <v>110.25</v>
      </c>
      <c r="F32">
        <v>18</v>
      </c>
      <c r="G32">
        <v>230</v>
      </c>
      <c r="H32">
        <v>0</v>
      </c>
      <c r="I32">
        <v>0</v>
      </c>
      <c r="J32">
        <v>0</v>
      </c>
      <c r="K32" s="11" t="str">
        <f>VLOOKUP(materials[[#This Row],[Column1.projectId]],projects[],2,FALSE)</f>
        <v>Weather Wear Rehab</v>
      </c>
    </row>
    <row r="33" spans="1:11" x14ac:dyDescent="0.45">
      <c r="A33">
        <v>2</v>
      </c>
      <c r="B33">
        <v>37</v>
      </c>
      <c r="C33" t="s">
        <v>38</v>
      </c>
      <c r="D33">
        <v>150</v>
      </c>
      <c r="E33">
        <v>126.78749999999999</v>
      </c>
      <c r="F33">
        <v>55</v>
      </c>
      <c r="G33">
        <v>150</v>
      </c>
      <c r="H33">
        <v>0</v>
      </c>
      <c r="I33">
        <v>0</v>
      </c>
      <c r="J33">
        <v>0.75</v>
      </c>
      <c r="K33" s="11" t="str">
        <f>VLOOKUP(materials[[#This Row],[Column1.projectId]],projects[],2,FALSE)</f>
        <v>Weather Wear Rehab</v>
      </c>
    </row>
    <row r="34" spans="1:11" x14ac:dyDescent="0.45">
      <c r="A34">
        <v>2</v>
      </c>
      <c r="B34">
        <v>38</v>
      </c>
      <c r="C34" t="s">
        <v>39</v>
      </c>
      <c r="D34">
        <v>0</v>
      </c>
      <c r="E34">
        <v>180.58949999999999</v>
      </c>
      <c r="F34">
        <v>55</v>
      </c>
      <c r="G34">
        <v>0</v>
      </c>
      <c r="H34">
        <v>0</v>
      </c>
      <c r="I34">
        <v>0</v>
      </c>
      <c r="J34">
        <v>0</v>
      </c>
      <c r="K34" s="11" t="str">
        <f>VLOOKUP(materials[[#This Row],[Column1.projectId]],projects[],2,FALSE)</f>
        <v>Weather Wear Rehab</v>
      </c>
    </row>
    <row r="35" spans="1:11" x14ac:dyDescent="0.45">
      <c r="A35">
        <v>2</v>
      </c>
      <c r="B35">
        <v>39</v>
      </c>
      <c r="C35" t="s">
        <v>40</v>
      </c>
      <c r="D35">
        <v>85</v>
      </c>
      <c r="E35">
        <v>18.963000000000001</v>
      </c>
      <c r="F35">
        <v>45</v>
      </c>
      <c r="G35">
        <v>120</v>
      </c>
      <c r="H35">
        <v>0</v>
      </c>
      <c r="I35">
        <v>50</v>
      </c>
      <c r="J35">
        <v>0.75</v>
      </c>
      <c r="K35" s="11" t="str">
        <f>VLOOKUP(materials[[#This Row],[Column1.projectId]],projects[],2,FALSE)</f>
        <v>Weather Wear Rehab</v>
      </c>
    </row>
    <row r="36" spans="1:11" x14ac:dyDescent="0.45">
      <c r="A36">
        <v>2</v>
      </c>
      <c r="B36">
        <v>40</v>
      </c>
      <c r="C36" t="s">
        <v>41</v>
      </c>
      <c r="D36">
        <v>120</v>
      </c>
      <c r="E36">
        <v>18.963000000000001</v>
      </c>
      <c r="F36">
        <v>45</v>
      </c>
      <c r="G36">
        <v>180</v>
      </c>
      <c r="H36">
        <v>0</v>
      </c>
      <c r="I36">
        <v>62</v>
      </c>
      <c r="J36">
        <v>0.75</v>
      </c>
      <c r="K36" s="11" t="str">
        <f>VLOOKUP(materials[[#This Row],[Column1.projectId]],projects[],2,FALSE)</f>
        <v>Weather Wear Rehab</v>
      </c>
    </row>
    <row r="37" spans="1:11" x14ac:dyDescent="0.45">
      <c r="A37">
        <v>2</v>
      </c>
      <c r="B37">
        <v>41</v>
      </c>
      <c r="C37" t="s">
        <v>42</v>
      </c>
      <c r="D37">
        <v>0</v>
      </c>
      <c r="E37">
        <v>113.1165</v>
      </c>
      <c r="F37">
        <v>55</v>
      </c>
      <c r="G37">
        <v>0</v>
      </c>
      <c r="H37">
        <v>0</v>
      </c>
      <c r="I37">
        <v>0</v>
      </c>
      <c r="J37">
        <v>0</v>
      </c>
      <c r="K37" s="11" t="str">
        <f>VLOOKUP(materials[[#This Row],[Column1.projectId]],projects[],2,FALSE)</f>
        <v>Weather Wear Rehab</v>
      </c>
    </row>
    <row r="38" spans="1:11" x14ac:dyDescent="0.45">
      <c r="A38">
        <v>2</v>
      </c>
      <c r="B38">
        <v>42</v>
      </c>
      <c r="C38" t="s">
        <v>43</v>
      </c>
      <c r="D38">
        <v>150</v>
      </c>
      <c r="E38">
        <v>28.8855</v>
      </c>
      <c r="F38">
        <v>55</v>
      </c>
      <c r="G38">
        <v>120</v>
      </c>
      <c r="H38">
        <v>0</v>
      </c>
      <c r="I38">
        <v>50</v>
      </c>
      <c r="J38">
        <v>0.75</v>
      </c>
      <c r="K38" s="11" t="str">
        <f>VLOOKUP(materials[[#This Row],[Column1.projectId]],projects[],2,FALSE)</f>
        <v>Weather Wear Rehab</v>
      </c>
    </row>
    <row r="39" spans="1:11" x14ac:dyDescent="0.45">
      <c r="A39">
        <v>2</v>
      </c>
      <c r="B39">
        <v>43</v>
      </c>
      <c r="C39" t="s">
        <v>44</v>
      </c>
      <c r="D39">
        <v>150</v>
      </c>
      <c r="E39">
        <v>29.767499999999998</v>
      </c>
      <c r="F39">
        <v>55</v>
      </c>
      <c r="G39">
        <v>120</v>
      </c>
      <c r="H39">
        <v>0</v>
      </c>
      <c r="I39">
        <v>50</v>
      </c>
      <c r="J39">
        <v>0.75</v>
      </c>
      <c r="K39" s="11" t="str">
        <f>VLOOKUP(materials[[#This Row],[Column1.projectId]],projects[],2,FALSE)</f>
        <v>Weather Wear Rehab</v>
      </c>
    </row>
    <row r="40" spans="1:11" x14ac:dyDescent="0.45">
      <c r="A40">
        <v>2</v>
      </c>
      <c r="B40">
        <v>44</v>
      </c>
      <c r="C40" t="s">
        <v>45</v>
      </c>
      <c r="D40">
        <v>150</v>
      </c>
      <c r="E40">
        <v>20.947500000000002</v>
      </c>
      <c r="F40">
        <v>40</v>
      </c>
      <c r="G40">
        <v>180</v>
      </c>
      <c r="H40">
        <v>0</v>
      </c>
      <c r="I40">
        <v>62</v>
      </c>
      <c r="J40">
        <v>0.75</v>
      </c>
      <c r="K40" s="11" t="str">
        <f>VLOOKUP(materials[[#This Row],[Column1.projectId]],projects[],2,FALSE)</f>
        <v>Weather Wear Rehab</v>
      </c>
    </row>
    <row r="41" spans="1:11" x14ac:dyDescent="0.45">
      <c r="A41">
        <v>2</v>
      </c>
      <c r="B41">
        <v>45</v>
      </c>
      <c r="C41" t="s">
        <v>46</v>
      </c>
      <c r="D41">
        <v>150</v>
      </c>
      <c r="E41">
        <v>22.05</v>
      </c>
      <c r="F41">
        <v>40</v>
      </c>
      <c r="G41">
        <v>180</v>
      </c>
      <c r="H41">
        <v>0</v>
      </c>
      <c r="I41">
        <v>62</v>
      </c>
      <c r="J41">
        <v>0.75</v>
      </c>
      <c r="K41" s="11" t="str">
        <f>VLOOKUP(materials[[#This Row],[Column1.projectId]],projects[],2,FALSE)</f>
        <v>Weather Wear Rehab</v>
      </c>
    </row>
    <row r="42" spans="1:11" x14ac:dyDescent="0.45">
      <c r="A42">
        <v>2</v>
      </c>
      <c r="B42">
        <v>46</v>
      </c>
      <c r="C42" t="s">
        <v>47</v>
      </c>
      <c r="D42">
        <v>800</v>
      </c>
      <c r="E42">
        <v>207.04949999999999</v>
      </c>
      <c r="F42">
        <v>55</v>
      </c>
      <c r="G42">
        <v>120</v>
      </c>
      <c r="H42">
        <v>0</v>
      </c>
      <c r="I42">
        <v>62</v>
      </c>
      <c r="J42">
        <v>0.75</v>
      </c>
      <c r="K42" s="11" t="str">
        <f>VLOOKUP(materials[[#This Row],[Column1.projectId]],projects[],2,FALSE)</f>
        <v>Weather Wear Rehab</v>
      </c>
    </row>
    <row r="43" spans="1:11" x14ac:dyDescent="0.45">
      <c r="A43">
        <v>2</v>
      </c>
      <c r="B43">
        <v>47</v>
      </c>
      <c r="C43" t="s">
        <v>48</v>
      </c>
      <c r="D43">
        <v>800</v>
      </c>
      <c r="E43">
        <v>136.5</v>
      </c>
      <c r="F43">
        <v>55</v>
      </c>
      <c r="G43">
        <v>120</v>
      </c>
      <c r="H43">
        <v>0</v>
      </c>
      <c r="I43">
        <v>62</v>
      </c>
      <c r="J43">
        <v>0.75</v>
      </c>
      <c r="K43" s="11" t="str">
        <f>VLOOKUP(materials[[#This Row],[Column1.projectId]],projects[],2,FALSE)</f>
        <v>Weather Wear Rehab</v>
      </c>
    </row>
    <row r="44" spans="1:11" x14ac:dyDescent="0.45">
      <c r="A44">
        <v>2</v>
      </c>
      <c r="B44">
        <v>48</v>
      </c>
      <c r="C44" t="s">
        <v>49</v>
      </c>
      <c r="D44">
        <v>0</v>
      </c>
      <c r="E44">
        <v>21.787500000000001</v>
      </c>
      <c r="F44">
        <v>2</v>
      </c>
      <c r="G44">
        <v>0</v>
      </c>
      <c r="H44">
        <v>0</v>
      </c>
      <c r="I44">
        <v>0</v>
      </c>
      <c r="J44">
        <v>0</v>
      </c>
      <c r="K44" s="11" t="str">
        <f>VLOOKUP(materials[[#This Row],[Column1.projectId]],projects[],2,FALSE)</f>
        <v>Weather Wear Rehab</v>
      </c>
    </row>
    <row r="45" spans="1:11" x14ac:dyDescent="0.45">
      <c r="A45">
        <v>2</v>
      </c>
      <c r="B45">
        <v>49</v>
      </c>
      <c r="C45" t="s">
        <v>50</v>
      </c>
      <c r="D45">
        <v>5000</v>
      </c>
      <c r="E45">
        <v>113.1165</v>
      </c>
      <c r="F45">
        <v>55</v>
      </c>
      <c r="G45">
        <v>180</v>
      </c>
      <c r="H45">
        <v>0</v>
      </c>
      <c r="I45">
        <v>130</v>
      </c>
      <c r="J45">
        <v>0</v>
      </c>
      <c r="K45" s="11" t="str">
        <f>VLOOKUP(materials[[#This Row],[Column1.projectId]],projects[],2,FALSE)</f>
        <v>Weather Wear Rehab</v>
      </c>
    </row>
    <row r="46" spans="1:11" x14ac:dyDescent="0.45">
      <c r="A46">
        <v>2</v>
      </c>
      <c r="B46">
        <v>50</v>
      </c>
      <c r="C46" t="s">
        <v>51</v>
      </c>
      <c r="D46">
        <v>150</v>
      </c>
      <c r="E46">
        <v>20.947500000000002</v>
      </c>
      <c r="F46">
        <v>40</v>
      </c>
      <c r="G46">
        <v>180</v>
      </c>
      <c r="H46">
        <v>0</v>
      </c>
      <c r="I46">
        <v>62</v>
      </c>
      <c r="J46">
        <v>0.75</v>
      </c>
      <c r="K46" s="11" t="str">
        <f>VLOOKUP(materials[[#This Row],[Column1.projectId]],projects[],2,FALSE)</f>
        <v>Weather Wear Rehab</v>
      </c>
    </row>
    <row r="47" spans="1:11" x14ac:dyDescent="0.45">
      <c r="A47">
        <v>2</v>
      </c>
      <c r="B47">
        <v>51</v>
      </c>
      <c r="C47" t="s">
        <v>52</v>
      </c>
      <c r="D47">
        <v>150</v>
      </c>
      <c r="E47">
        <v>22.05</v>
      </c>
      <c r="F47">
        <v>40</v>
      </c>
      <c r="G47">
        <v>180</v>
      </c>
      <c r="H47">
        <v>0</v>
      </c>
      <c r="I47">
        <v>62</v>
      </c>
      <c r="J47">
        <v>0.75</v>
      </c>
      <c r="K47" s="11" t="str">
        <f>VLOOKUP(materials[[#This Row],[Column1.projectId]],projects[],2,FALSE)</f>
        <v>Weather Wear Rehab</v>
      </c>
    </row>
    <row r="48" spans="1:11" x14ac:dyDescent="0.45">
      <c r="A48">
        <v>2</v>
      </c>
      <c r="B48">
        <v>52</v>
      </c>
      <c r="C48" t="s">
        <v>53</v>
      </c>
      <c r="D48">
        <v>800</v>
      </c>
      <c r="E48">
        <v>225.75</v>
      </c>
      <c r="F48">
        <v>55</v>
      </c>
      <c r="G48">
        <v>150</v>
      </c>
      <c r="H48">
        <v>0</v>
      </c>
      <c r="I48">
        <v>62</v>
      </c>
      <c r="J48">
        <v>0.75</v>
      </c>
      <c r="K48" s="11" t="str">
        <f>VLOOKUP(materials[[#This Row],[Column1.projectId]],projects[],2,FALSE)</f>
        <v>Weather Wear Rehab</v>
      </c>
    </row>
    <row r="49" spans="1:11" x14ac:dyDescent="0.45">
      <c r="A49">
        <v>2</v>
      </c>
      <c r="B49">
        <v>53</v>
      </c>
      <c r="C49" t="s">
        <v>54</v>
      </c>
      <c r="D49">
        <v>1</v>
      </c>
      <c r="E49">
        <v>6.0270000000000001</v>
      </c>
      <c r="F49">
        <v>0.41</v>
      </c>
      <c r="G49">
        <v>0</v>
      </c>
      <c r="H49">
        <v>0</v>
      </c>
      <c r="I49">
        <v>31.82</v>
      </c>
      <c r="J49">
        <v>0</v>
      </c>
      <c r="K49" s="11" t="str">
        <f>VLOOKUP(materials[[#This Row],[Column1.projectId]],projects[],2,FALSE)</f>
        <v>Weather Wear Rehab</v>
      </c>
    </row>
    <row r="50" spans="1:11" x14ac:dyDescent="0.45">
      <c r="A50">
        <v>2</v>
      </c>
      <c r="B50">
        <v>54</v>
      </c>
      <c r="C50" t="s">
        <v>55</v>
      </c>
      <c r="D50">
        <v>1</v>
      </c>
      <c r="E50">
        <v>6.0270000000000001</v>
      </c>
      <c r="F50">
        <v>0.41</v>
      </c>
      <c r="G50">
        <v>0</v>
      </c>
      <c r="H50">
        <v>0</v>
      </c>
      <c r="I50">
        <v>31.82</v>
      </c>
      <c r="J50">
        <v>0</v>
      </c>
      <c r="K50" s="11" t="str">
        <f>VLOOKUP(materials[[#This Row],[Column1.projectId]],projects[],2,FALSE)</f>
        <v>Weather Wear Rehab</v>
      </c>
    </row>
    <row r="51" spans="1:11" x14ac:dyDescent="0.45">
      <c r="A51">
        <v>2</v>
      </c>
      <c r="B51">
        <v>55</v>
      </c>
      <c r="C51" t="s">
        <v>56</v>
      </c>
      <c r="D51">
        <v>1</v>
      </c>
      <c r="E51">
        <v>65</v>
      </c>
      <c r="F51">
        <v>55</v>
      </c>
      <c r="G51">
        <v>10.3</v>
      </c>
      <c r="H51">
        <v>0</v>
      </c>
      <c r="I51">
        <v>0</v>
      </c>
      <c r="J51">
        <v>6.4</v>
      </c>
      <c r="K51" s="11" t="str">
        <f>VLOOKUP(materials[[#This Row],[Column1.projectId]],projects[],2,FALSE)</f>
        <v>Weather Wear Rehab</v>
      </c>
    </row>
    <row r="52" spans="1:11" x14ac:dyDescent="0.45">
      <c r="A52">
        <v>2</v>
      </c>
      <c r="B52">
        <v>56</v>
      </c>
      <c r="C52" t="s">
        <v>57</v>
      </c>
      <c r="D52">
        <v>1</v>
      </c>
      <c r="E52">
        <v>3.9375</v>
      </c>
      <c r="F52">
        <v>3</v>
      </c>
      <c r="G52">
        <v>1.8</v>
      </c>
      <c r="H52">
        <v>0</v>
      </c>
      <c r="I52">
        <v>0</v>
      </c>
      <c r="J52">
        <v>15</v>
      </c>
      <c r="K52" s="11" t="str">
        <f>VLOOKUP(materials[[#This Row],[Column1.projectId]],projects[],2,FALSE)</f>
        <v>Weather Wear Rehab</v>
      </c>
    </row>
    <row r="53" spans="1:11" x14ac:dyDescent="0.45">
      <c r="A53">
        <v>3</v>
      </c>
      <c r="B53">
        <v>57</v>
      </c>
      <c r="C53" t="s">
        <v>61</v>
      </c>
      <c r="D53">
        <v>0</v>
      </c>
      <c r="E53">
        <v>0</v>
      </c>
      <c r="F53">
        <v>0</v>
      </c>
      <c r="G53">
        <v>400</v>
      </c>
      <c r="H53">
        <v>0</v>
      </c>
      <c r="I53">
        <v>100</v>
      </c>
      <c r="J53">
        <v>0.75</v>
      </c>
      <c r="K53" s="11" t="str">
        <f>VLOOKUP(materials[[#This Row],[Column1.projectId]],projects[],2,FALSE)</f>
        <v>Barrier Guard</v>
      </c>
    </row>
    <row r="54" spans="1:11" x14ac:dyDescent="0.45">
      <c r="A54">
        <v>3</v>
      </c>
      <c r="B54">
        <v>58</v>
      </c>
      <c r="C54" t="s">
        <v>62</v>
      </c>
      <c r="D54">
        <v>150</v>
      </c>
      <c r="E54">
        <v>138.03299999999999</v>
      </c>
      <c r="F54">
        <v>55</v>
      </c>
      <c r="G54">
        <v>170</v>
      </c>
      <c r="H54">
        <v>0</v>
      </c>
      <c r="I54">
        <v>80</v>
      </c>
      <c r="J54">
        <v>0.75</v>
      </c>
      <c r="K54" s="11" t="str">
        <f>VLOOKUP(materials[[#This Row],[Column1.projectId]],projects[],2,FALSE)</f>
        <v>Barrier Guard</v>
      </c>
    </row>
    <row r="55" spans="1:11" x14ac:dyDescent="0.45">
      <c r="A55">
        <v>3</v>
      </c>
      <c r="B55">
        <v>59</v>
      </c>
      <c r="C55" t="s">
        <v>63</v>
      </c>
      <c r="D55">
        <v>150</v>
      </c>
      <c r="E55">
        <v>28.8855</v>
      </c>
      <c r="F55">
        <v>55</v>
      </c>
      <c r="G55">
        <v>180</v>
      </c>
      <c r="H55">
        <v>0</v>
      </c>
      <c r="I55">
        <v>70</v>
      </c>
      <c r="J55">
        <v>0.75</v>
      </c>
      <c r="K55" s="11" t="str">
        <f>VLOOKUP(materials[[#This Row],[Column1.projectId]],projects[],2,FALSE)</f>
        <v>Barrier Guard</v>
      </c>
    </row>
    <row r="56" spans="1:11" x14ac:dyDescent="0.45">
      <c r="A56">
        <v>3</v>
      </c>
      <c r="B56">
        <v>60</v>
      </c>
      <c r="C56" t="s">
        <v>64</v>
      </c>
      <c r="D56">
        <v>68</v>
      </c>
      <c r="E56">
        <v>1.68</v>
      </c>
      <c r="F56">
        <v>0</v>
      </c>
      <c r="G56">
        <v>80</v>
      </c>
      <c r="H56">
        <v>0</v>
      </c>
      <c r="I56">
        <v>0</v>
      </c>
      <c r="J56">
        <v>2</v>
      </c>
      <c r="K56" s="11" t="str">
        <f>VLOOKUP(materials[[#This Row],[Column1.projectId]],projects[],2,FALSE)</f>
        <v>Barrier Guard</v>
      </c>
    </row>
    <row r="57" spans="1:11" x14ac:dyDescent="0.45">
      <c r="A57">
        <v>3</v>
      </c>
      <c r="B57">
        <v>61</v>
      </c>
      <c r="C57" t="s">
        <v>65</v>
      </c>
      <c r="D57">
        <v>150</v>
      </c>
      <c r="E57">
        <v>28.8855</v>
      </c>
      <c r="F57">
        <v>55</v>
      </c>
      <c r="G57">
        <v>300</v>
      </c>
      <c r="H57">
        <v>0</v>
      </c>
      <c r="I57">
        <v>100</v>
      </c>
      <c r="J57">
        <v>0.75</v>
      </c>
      <c r="K57" s="11" t="str">
        <f>VLOOKUP(materials[[#This Row],[Column1.projectId]],projects[],2,FALSE)</f>
        <v>Barrier Guard</v>
      </c>
    </row>
    <row r="58" spans="1:11" x14ac:dyDescent="0.45">
      <c r="A58">
        <v>3</v>
      </c>
      <c r="B58">
        <v>62</v>
      </c>
      <c r="C58" t="s">
        <v>66</v>
      </c>
      <c r="D58">
        <v>5000</v>
      </c>
      <c r="E58">
        <v>113.1165</v>
      </c>
      <c r="F58">
        <v>55</v>
      </c>
      <c r="G58">
        <v>600</v>
      </c>
      <c r="H58">
        <v>0</v>
      </c>
      <c r="I58">
        <v>250</v>
      </c>
      <c r="J58">
        <v>0</v>
      </c>
      <c r="K58" s="11" t="str">
        <f>VLOOKUP(materials[[#This Row],[Column1.projectId]],projects[],2,FALSE)</f>
        <v>Barrier Guard</v>
      </c>
    </row>
    <row r="59" spans="1:11" x14ac:dyDescent="0.45">
      <c r="A59">
        <v>3</v>
      </c>
      <c r="B59">
        <v>63</v>
      </c>
      <c r="C59" t="s">
        <v>67</v>
      </c>
      <c r="D59">
        <v>150</v>
      </c>
      <c r="E59">
        <v>20.947500000000002</v>
      </c>
      <c r="F59">
        <v>45</v>
      </c>
      <c r="G59">
        <v>120</v>
      </c>
      <c r="H59">
        <v>0</v>
      </c>
      <c r="I59">
        <v>60</v>
      </c>
      <c r="J59">
        <v>0.75</v>
      </c>
      <c r="K59" s="11" t="str">
        <f>VLOOKUP(materials[[#This Row],[Column1.projectId]],projects[],2,FALSE)</f>
        <v>Barrier Guard</v>
      </c>
    </row>
    <row r="60" spans="1:11" x14ac:dyDescent="0.45">
      <c r="A60">
        <v>3</v>
      </c>
      <c r="B60">
        <v>64</v>
      </c>
      <c r="C60" t="s">
        <v>68</v>
      </c>
      <c r="D60">
        <v>150</v>
      </c>
      <c r="E60">
        <v>22.05</v>
      </c>
      <c r="F60">
        <v>45</v>
      </c>
      <c r="G60">
        <v>120</v>
      </c>
      <c r="H60">
        <v>0</v>
      </c>
      <c r="I60">
        <v>60</v>
      </c>
      <c r="J60">
        <v>0.75</v>
      </c>
      <c r="K60" s="11" t="str">
        <f>VLOOKUP(materials[[#This Row],[Column1.projectId]],projects[],2,FALSE)</f>
        <v>Barrier Guard</v>
      </c>
    </row>
    <row r="61" spans="1:11" x14ac:dyDescent="0.45">
      <c r="A61">
        <v>3</v>
      </c>
      <c r="B61">
        <v>65</v>
      </c>
      <c r="C61" t="s">
        <v>69</v>
      </c>
      <c r="D61">
        <v>150</v>
      </c>
      <c r="E61">
        <v>20.947500000000002</v>
      </c>
      <c r="F61">
        <v>45</v>
      </c>
      <c r="G61">
        <v>120</v>
      </c>
      <c r="H61">
        <v>0</v>
      </c>
      <c r="I61">
        <v>62</v>
      </c>
      <c r="J61">
        <v>0.75</v>
      </c>
      <c r="K61" s="11" t="str">
        <f>VLOOKUP(materials[[#This Row],[Column1.projectId]],projects[],2,FALSE)</f>
        <v>Barrier Guard</v>
      </c>
    </row>
    <row r="62" spans="1:11" x14ac:dyDescent="0.45">
      <c r="A62">
        <v>3</v>
      </c>
      <c r="B62">
        <v>66</v>
      </c>
      <c r="C62" t="s">
        <v>70</v>
      </c>
      <c r="D62">
        <v>150</v>
      </c>
      <c r="E62">
        <v>22.05</v>
      </c>
      <c r="F62">
        <v>45</v>
      </c>
      <c r="G62">
        <v>120</v>
      </c>
      <c r="H62">
        <v>0</v>
      </c>
      <c r="I62">
        <v>62</v>
      </c>
      <c r="J62">
        <v>0.75</v>
      </c>
      <c r="K62" s="11" t="str">
        <f>VLOOKUP(materials[[#This Row],[Column1.projectId]],projects[],2,FALSE)</f>
        <v>Barrier Guard</v>
      </c>
    </row>
    <row r="63" spans="1:11" x14ac:dyDescent="0.45">
      <c r="A63">
        <v>3</v>
      </c>
      <c r="B63">
        <v>67</v>
      </c>
      <c r="C63" t="s">
        <v>71</v>
      </c>
      <c r="D63">
        <v>800</v>
      </c>
      <c r="E63">
        <v>207.04949999999999</v>
      </c>
      <c r="F63">
        <v>55</v>
      </c>
      <c r="G63">
        <v>150</v>
      </c>
      <c r="H63">
        <v>0</v>
      </c>
      <c r="I63">
        <v>62</v>
      </c>
      <c r="J63">
        <v>0.75</v>
      </c>
      <c r="K63" s="11" t="str">
        <f>VLOOKUP(materials[[#This Row],[Column1.projectId]],projects[],2,FALSE)</f>
        <v>Barrier Guard</v>
      </c>
    </row>
    <row r="64" spans="1:11" x14ac:dyDescent="0.45">
      <c r="A64">
        <v>3</v>
      </c>
      <c r="B64">
        <v>68</v>
      </c>
      <c r="C64" t="s">
        <v>49</v>
      </c>
      <c r="D64">
        <v>0</v>
      </c>
      <c r="E64">
        <v>21.787500000000001</v>
      </c>
      <c r="F64">
        <v>2</v>
      </c>
      <c r="G64">
        <v>0</v>
      </c>
      <c r="H64">
        <v>0</v>
      </c>
      <c r="I64">
        <v>0</v>
      </c>
      <c r="J64">
        <v>0</v>
      </c>
      <c r="K64" s="11" t="str">
        <f>VLOOKUP(materials[[#This Row],[Column1.projectId]],projects[],2,FALSE)</f>
        <v>Barrier Guard</v>
      </c>
    </row>
    <row r="65" spans="1:11" x14ac:dyDescent="0.45">
      <c r="A65">
        <v>3</v>
      </c>
      <c r="B65">
        <v>69</v>
      </c>
      <c r="C65" t="s">
        <v>48</v>
      </c>
      <c r="D65">
        <v>800</v>
      </c>
      <c r="E65">
        <v>136.5</v>
      </c>
      <c r="F65">
        <v>55</v>
      </c>
      <c r="G65">
        <v>120</v>
      </c>
      <c r="H65">
        <v>0</v>
      </c>
      <c r="I65">
        <v>45</v>
      </c>
      <c r="J65">
        <v>0.75</v>
      </c>
      <c r="K65" s="11" t="str">
        <f>VLOOKUP(materials[[#This Row],[Column1.projectId]],projects[],2,FALSE)</f>
        <v>Barrier Guard</v>
      </c>
    </row>
    <row r="66" spans="1:11" x14ac:dyDescent="0.45">
      <c r="A66">
        <v>3</v>
      </c>
      <c r="B66">
        <v>70</v>
      </c>
      <c r="C66" t="s">
        <v>72</v>
      </c>
      <c r="D66">
        <v>800</v>
      </c>
      <c r="E66">
        <v>225.75</v>
      </c>
      <c r="F66">
        <v>55</v>
      </c>
      <c r="G66">
        <v>150</v>
      </c>
      <c r="H66">
        <v>0</v>
      </c>
      <c r="I66">
        <v>62</v>
      </c>
      <c r="J66">
        <v>0.75</v>
      </c>
      <c r="K66" s="11" t="str">
        <f>VLOOKUP(materials[[#This Row],[Column1.projectId]],projects[],2,FALSE)</f>
        <v>Barrier Guard</v>
      </c>
    </row>
    <row r="67" spans="1:11" x14ac:dyDescent="0.45">
      <c r="A67">
        <v>3</v>
      </c>
      <c r="B67">
        <v>71</v>
      </c>
      <c r="C67" t="s">
        <v>73</v>
      </c>
      <c r="D67">
        <v>1200</v>
      </c>
      <c r="E67">
        <v>110.25</v>
      </c>
      <c r="F67">
        <v>18</v>
      </c>
      <c r="G67">
        <v>500</v>
      </c>
      <c r="H67">
        <v>0</v>
      </c>
      <c r="I67">
        <v>0</v>
      </c>
      <c r="J67">
        <v>0</v>
      </c>
      <c r="K67" s="11" t="str">
        <f>VLOOKUP(materials[[#This Row],[Column1.projectId]],projects[],2,FALSE)</f>
        <v>Barrier Guard</v>
      </c>
    </row>
    <row r="68" spans="1:11" x14ac:dyDescent="0.45">
      <c r="A68">
        <v>3</v>
      </c>
      <c r="B68">
        <v>72</v>
      </c>
      <c r="C68" t="s">
        <v>74</v>
      </c>
      <c r="D68">
        <v>0</v>
      </c>
      <c r="E68">
        <v>113.1165</v>
      </c>
      <c r="F68">
        <v>0</v>
      </c>
      <c r="G68">
        <v>0</v>
      </c>
      <c r="H68">
        <v>0</v>
      </c>
      <c r="I68">
        <v>0</v>
      </c>
      <c r="J68">
        <v>0</v>
      </c>
      <c r="K68" s="11" t="str">
        <f>VLOOKUP(materials[[#This Row],[Column1.projectId]],projects[],2,FALSE)</f>
        <v>Barrier Guard</v>
      </c>
    </row>
    <row r="69" spans="1:11" x14ac:dyDescent="0.45">
      <c r="A69">
        <v>3</v>
      </c>
      <c r="B69">
        <v>73</v>
      </c>
      <c r="C69" t="s">
        <v>75</v>
      </c>
      <c r="D69">
        <v>300</v>
      </c>
      <c r="E69">
        <v>47.25</v>
      </c>
      <c r="F69">
        <v>5</v>
      </c>
      <c r="G69">
        <v>0</v>
      </c>
      <c r="H69">
        <v>0</v>
      </c>
      <c r="I69">
        <v>0</v>
      </c>
      <c r="J69">
        <v>0</v>
      </c>
      <c r="K69" s="11" t="str">
        <f>VLOOKUP(materials[[#This Row],[Column1.projectId]],projects[],2,FALSE)</f>
        <v>Barrier Guard</v>
      </c>
    </row>
    <row r="70" spans="1:11" x14ac:dyDescent="0.45">
      <c r="A70">
        <v>3</v>
      </c>
      <c r="B70">
        <v>74</v>
      </c>
      <c r="C70" t="s">
        <v>54</v>
      </c>
      <c r="D70">
        <v>1</v>
      </c>
      <c r="E70">
        <v>6.0270000000000001</v>
      </c>
      <c r="F70">
        <v>0.41</v>
      </c>
      <c r="G70">
        <v>0</v>
      </c>
      <c r="H70">
        <v>0</v>
      </c>
      <c r="I70">
        <v>31.82</v>
      </c>
      <c r="J70">
        <v>0</v>
      </c>
      <c r="K70" s="11" t="str">
        <f>VLOOKUP(materials[[#This Row],[Column1.projectId]],projects[],2,FALSE)</f>
        <v>Barrier Guard</v>
      </c>
    </row>
    <row r="71" spans="1:11" x14ac:dyDescent="0.45">
      <c r="A71">
        <v>3</v>
      </c>
      <c r="B71">
        <v>75</v>
      </c>
      <c r="C71" t="s">
        <v>55</v>
      </c>
      <c r="D71">
        <v>1</v>
      </c>
      <c r="E71">
        <v>6.0270000000000001</v>
      </c>
      <c r="F71">
        <v>0.41</v>
      </c>
      <c r="G71">
        <v>0</v>
      </c>
      <c r="H71">
        <v>0</v>
      </c>
      <c r="I71">
        <v>31.82</v>
      </c>
      <c r="J71">
        <v>0</v>
      </c>
      <c r="K71" s="11" t="str">
        <f>VLOOKUP(materials[[#This Row],[Column1.projectId]],projects[],2,FALSE)</f>
        <v>Barrier Guard</v>
      </c>
    </row>
    <row r="72" spans="1:11" x14ac:dyDescent="0.45">
      <c r="A72">
        <v>3</v>
      </c>
      <c r="B72">
        <v>76</v>
      </c>
      <c r="C72" t="s">
        <v>76</v>
      </c>
      <c r="D72">
        <v>1</v>
      </c>
      <c r="E72">
        <v>65</v>
      </c>
      <c r="F72">
        <v>55</v>
      </c>
      <c r="G72">
        <v>10.3</v>
      </c>
      <c r="H72">
        <v>0</v>
      </c>
      <c r="I72">
        <v>0</v>
      </c>
      <c r="J72">
        <v>6.4</v>
      </c>
      <c r="K72" s="11" t="str">
        <f>VLOOKUP(materials[[#This Row],[Column1.projectId]],projects[],2,FALSE)</f>
        <v>Barrier Guard</v>
      </c>
    </row>
    <row r="73" spans="1:11" x14ac:dyDescent="0.45">
      <c r="A73">
        <v>3</v>
      </c>
      <c r="B73">
        <v>77</v>
      </c>
      <c r="C73" t="s">
        <v>57</v>
      </c>
      <c r="D73">
        <v>1</v>
      </c>
      <c r="E73">
        <v>3.9375</v>
      </c>
      <c r="F73">
        <v>3</v>
      </c>
      <c r="G73">
        <v>1.8</v>
      </c>
      <c r="H73">
        <v>0</v>
      </c>
      <c r="I73">
        <v>0</v>
      </c>
      <c r="J73">
        <v>15</v>
      </c>
      <c r="K73" s="11" t="str">
        <f>VLOOKUP(materials[[#This Row],[Column1.projectId]],projects[],2,FALSE)</f>
        <v>Barrier Guard</v>
      </c>
    </row>
    <row r="74" spans="1:11" x14ac:dyDescent="0.45">
      <c r="A74">
        <v>4</v>
      </c>
      <c r="B74">
        <v>78</v>
      </c>
      <c r="C74" t="s">
        <v>77</v>
      </c>
      <c r="D74">
        <v>18</v>
      </c>
      <c r="E74">
        <v>8.96875</v>
      </c>
      <c r="F74">
        <v>3</v>
      </c>
      <c r="G74">
        <v>120</v>
      </c>
      <c r="H74">
        <v>0</v>
      </c>
      <c r="I74">
        <v>0</v>
      </c>
      <c r="J74">
        <v>0.75</v>
      </c>
      <c r="K74" s="11" t="str">
        <f>VLOOKUP(materials[[#This Row],[Column1.projectId]],projects[],2,FALSE)</f>
        <v>Endurokote</v>
      </c>
    </row>
    <row r="75" spans="1:11" x14ac:dyDescent="0.45">
      <c r="A75">
        <v>4</v>
      </c>
      <c r="B75">
        <v>79</v>
      </c>
      <c r="C75" t="s">
        <v>78</v>
      </c>
      <c r="D75">
        <v>600</v>
      </c>
      <c r="E75">
        <v>66.625</v>
      </c>
      <c r="F75">
        <v>5</v>
      </c>
      <c r="G75">
        <v>0</v>
      </c>
      <c r="H75">
        <v>0</v>
      </c>
      <c r="I75">
        <v>0</v>
      </c>
      <c r="J75">
        <v>0</v>
      </c>
      <c r="K75" s="11" t="str">
        <f>VLOOKUP(materials[[#This Row],[Column1.projectId]],projects[],2,FALSE)</f>
        <v>Endurokote</v>
      </c>
    </row>
    <row r="76" spans="1:11" x14ac:dyDescent="0.45">
      <c r="A76">
        <v>4</v>
      </c>
      <c r="B76">
        <v>80</v>
      </c>
      <c r="C76" t="s">
        <v>79</v>
      </c>
      <c r="D76">
        <v>250</v>
      </c>
      <c r="E76">
        <v>181.19</v>
      </c>
      <c r="F76">
        <v>55</v>
      </c>
      <c r="G76">
        <v>160</v>
      </c>
      <c r="H76">
        <v>0</v>
      </c>
      <c r="I76">
        <v>0</v>
      </c>
      <c r="J76">
        <v>0.75</v>
      </c>
      <c r="K76" s="11" t="str">
        <f>VLOOKUP(materials[[#This Row],[Column1.projectId]],projects[],2,FALSE)</f>
        <v>Endurokote</v>
      </c>
    </row>
    <row r="77" spans="1:11" x14ac:dyDescent="0.45">
      <c r="A77">
        <v>4</v>
      </c>
      <c r="B77">
        <v>81</v>
      </c>
      <c r="C77" t="s">
        <v>80</v>
      </c>
      <c r="D77">
        <v>2000</v>
      </c>
      <c r="E77">
        <v>268.70999999999998</v>
      </c>
      <c r="F77">
        <v>90</v>
      </c>
      <c r="G77">
        <v>160</v>
      </c>
      <c r="H77">
        <v>0</v>
      </c>
      <c r="I77">
        <v>0</v>
      </c>
      <c r="J77">
        <v>0.75</v>
      </c>
      <c r="K77" s="11" t="str">
        <f>VLOOKUP(materials[[#This Row],[Column1.projectId]],projects[],2,FALSE)</f>
        <v>Endurokote</v>
      </c>
    </row>
    <row r="78" spans="1:11" x14ac:dyDescent="0.45">
      <c r="A78">
        <v>4</v>
      </c>
      <c r="B78">
        <v>82</v>
      </c>
      <c r="C78" t="s">
        <v>81</v>
      </c>
      <c r="D78">
        <v>33</v>
      </c>
      <c r="E78">
        <v>15.75</v>
      </c>
      <c r="F78">
        <v>50</v>
      </c>
      <c r="G78">
        <v>180</v>
      </c>
      <c r="H78">
        <v>0</v>
      </c>
      <c r="I78">
        <v>30</v>
      </c>
      <c r="J78">
        <v>0.75</v>
      </c>
      <c r="K78" s="11" t="str">
        <f>VLOOKUP(materials[[#This Row],[Column1.projectId]],projects[],2,FALSE)</f>
        <v>Endurokote</v>
      </c>
    </row>
    <row r="79" spans="1:11" x14ac:dyDescent="0.45">
      <c r="A79">
        <v>4</v>
      </c>
      <c r="B79">
        <v>83</v>
      </c>
      <c r="C79" t="s">
        <v>82</v>
      </c>
      <c r="D79">
        <v>100</v>
      </c>
      <c r="E79">
        <v>15.75</v>
      </c>
      <c r="F79">
        <v>50</v>
      </c>
      <c r="G79">
        <v>100</v>
      </c>
      <c r="H79">
        <v>0</v>
      </c>
      <c r="I79">
        <v>30</v>
      </c>
      <c r="J79">
        <v>0.75</v>
      </c>
      <c r="K79" s="11" t="str">
        <f>VLOOKUP(materials[[#This Row],[Column1.projectId]],projects[],2,FALSE)</f>
        <v>Endurokote</v>
      </c>
    </row>
    <row r="80" spans="1:11" x14ac:dyDescent="0.45">
      <c r="A80">
        <v>4</v>
      </c>
      <c r="B80">
        <v>84</v>
      </c>
      <c r="C80" t="s">
        <v>83</v>
      </c>
      <c r="D80">
        <v>150</v>
      </c>
      <c r="E80">
        <v>15.75</v>
      </c>
      <c r="F80">
        <v>50</v>
      </c>
      <c r="G80">
        <v>120</v>
      </c>
      <c r="H80">
        <v>0</v>
      </c>
      <c r="I80">
        <v>30</v>
      </c>
      <c r="J80">
        <v>0.75</v>
      </c>
      <c r="K80" s="11" t="str">
        <f>VLOOKUP(materials[[#This Row],[Column1.projectId]],projects[],2,FALSE)</f>
        <v>Endurokote</v>
      </c>
    </row>
    <row r="81" spans="1:11" x14ac:dyDescent="0.45">
      <c r="A81">
        <v>4</v>
      </c>
      <c r="B81">
        <v>85</v>
      </c>
      <c r="C81" t="s">
        <v>84</v>
      </c>
      <c r="D81">
        <v>0</v>
      </c>
      <c r="E81">
        <v>147.78</v>
      </c>
      <c r="F81">
        <v>55</v>
      </c>
      <c r="G81">
        <v>0</v>
      </c>
      <c r="H81">
        <v>0</v>
      </c>
      <c r="I81">
        <v>0</v>
      </c>
      <c r="J81">
        <v>0</v>
      </c>
      <c r="K81" s="11" t="str">
        <f>VLOOKUP(materials[[#This Row],[Column1.projectId]],projects[],2,FALSE)</f>
        <v>Endurokote</v>
      </c>
    </row>
    <row r="82" spans="1:11" x14ac:dyDescent="0.45">
      <c r="A82">
        <v>4</v>
      </c>
      <c r="B82">
        <v>86</v>
      </c>
      <c r="C82" t="s">
        <v>85</v>
      </c>
      <c r="D82">
        <v>800</v>
      </c>
      <c r="E82">
        <v>209.88</v>
      </c>
      <c r="F82">
        <v>55</v>
      </c>
      <c r="G82">
        <v>150</v>
      </c>
      <c r="H82">
        <v>0</v>
      </c>
      <c r="I82">
        <v>62</v>
      </c>
      <c r="J82">
        <v>0.75</v>
      </c>
      <c r="K82" s="11" t="str">
        <f>VLOOKUP(materials[[#This Row],[Column1.projectId]],projects[],2,FALSE)</f>
        <v>Endurokote</v>
      </c>
    </row>
    <row r="83" spans="1:11" x14ac:dyDescent="0.45">
      <c r="A83">
        <v>4</v>
      </c>
      <c r="B83">
        <v>87</v>
      </c>
      <c r="C83" t="s">
        <v>86</v>
      </c>
      <c r="D83">
        <v>20</v>
      </c>
      <c r="E83">
        <v>7.74</v>
      </c>
      <c r="F83">
        <v>1</v>
      </c>
      <c r="G83">
        <v>120</v>
      </c>
      <c r="H83">
        <v>0</v>
      </c>
      <c r="I83">
        <v>0</v>
      </c>
      <c r="J83">
        <v>0</v>
      </c>
      <c r="K83" s="11" t="str">
        <f>VLOOKUP(materials[[#This Row],[Column1.projectId]],projects[],2,FALSE)</f>
        <v>Endurokote</v>
      </c>
    </row>
    <row r="84" spans="1:11" x14ac:dyDescent="0.45">
      <c r="A84">
        <v>4</v>
      </c>
      <c r="B84">
        <v>88</v>
      </c>
      <c r="C84" t="s">
        <v>87</v>
      </c>
      <c r="D84">
        <v>2500</v>
      </c>
      <c r="E84">
        <v>50.225000000000001</v>
      </c>
      <c r="F84">
        <v>55</v>
      </c>
      <c r="G84">
        <v>0</v>
      </c>
      <c r="H84">
        <v>0</v>
      </c>
      <c r="I84">
        <v>0</v>
      </c>
      <c r="J84">
        <v>0</v>
      </c>
      <c r="K84" s="11" t="str">
        <f>VLOOKUP(materials[[#This Row],[Column1.projectId]],projects[],2,FALSE)</f>
        <v>Endurokote</v>
      </c>
    </row>
    <row r="85" spans="1:11" x14ac:dyDescent="0.45">
      <c r="A85">
        <v>4</v>
      </c>
      <c r="B85">
        <v>89</v>
      </c>
      <c r="C85" t="s">
        <v>88</v>
      </c>
      <c r="D85">
        <v>100</v>
      </c>
      <c r="E85">
        <v>9.7375000000000007</v>
      </c>
      <c r="F85">
        <v>50</v>
      </c>
      <c r="G85">
        <v>100</v>
      </c>
      <c r="H85">
        <v>0</v>
      </c>
      <c r="I85">
        <v>30</v>
      </c>
      <c r="J85">
        <v>0.75</v>
      </c>
      <c r="K85" s="11" t="str">
        <f>VLOOKUP(materials[[#This Row],[Column1.projectId]],projects[],2,FALSE)</f>
        <v>Endurokote</v>
      </c>
    </row>
    <row r="86" spans="1:11" x14ac:dyDescent="0.45">
      <c r="A86">
        <v>4</v>
      </c>
      <c r="B86">
        <v>90</v>
      </c>
      <c r="C86" t="s">
        <v>89</v>
      </c>
      <c r="D86">
        <v>1</v>
      </c>
      <c r="E86">
        <v>3.11</v>
      </c>
      <c r="F86">
        <v>0.41</v>
      </c>
      <c r="G86">
        <v>0</v>
      </c>
      <c r="H86">
        <v>0</v>
      </c>
      <c r="I86">
        <v>31.82</v>
      </c>
      <c r="J86">
        <v>0</v>
      </c>
      <c r="K86" s="11" t="str">
        <f>VLOOKUP(materials[[#This Row],[Column1.projectId]],projects[],2,FALSE)</f>
        <v>Endurokote</v>
      </c>
    </row>
    <row r="87" spans="1:11" x14ac:dyDescent="0.45">
      <c r="A87">
        <v>4</v>
      </c>
      <c r="B87">
        <v>91</v>
      </c>
      <c r="C87" t="s">
        <v>55</v>
      </c>
      <c r="D87">
        <v>1</v>
      </c>
      <c r="E87">
        <v>3.11</v>
      </c>
      <c r="F87">
        <v>0.41</v>
      </c>
      <c r="G87">
        <v>0</v>
      </c>
      <c r="H87">
        <v>0</v>
      </c>
      <c r="I87">
        <v>31.82</v>
      </c>
      <c r="J87">
        <v>0</v>
      </c>
      <c r="K87" s="11" t="str">
        <f>VLOOKUP(materials[[#This Row],[Column1.projectId]],projects[],2,FALSE)</f>
        <v>Endurokote</v>
      </c>
    </row>
    <row r="88" spans="1:11" x14ac:dyDescent="0.45">
      <c r="A88">
        <v>4</v>
      </c>
      <c r="B88">
        <v>92</v>
      </c>
      <c r="C88" t="s">
        <v>76</v>
      </c>
      <c r="D88">
        <v>1</v>
      </c>
      <c r="E88">
        <v>65</v>
      </c>
      <c r="F88">
        <v>55</v>
      </c>
      <c r="G88">
        <v>10.3</v>
      </c>
      <c r="H88">
        <v>0</v>
      </c>
      <c r="I88">
        <v>0</v>
      </c>
      <c r="J88">
        <v>6.4</v>
      </c>
      <c r="K88" s="11" t="str">
        <f>VLOOKUP(materials[[#This Row],[Column1.projectId]],projects[],2,FALSE)</f>
        <v>Endurokote</v>
      </c>
    </row>
    <row r="89" spans="1:11" x14ac:dyDescent="0.45">
      <c r="A89">
        <v>4</v>
      </c>
      <c r="B89">
        <v>93</v>
      </c>
      <c r="C89" t="s">
        <v>57</v>
      </c>
      <c r="D89">
        <v>1</v>
      </c>
      <c r="E89">
        <v>3.9375</v>
      </c>
      <c r="F89">
        <v>3</v>
      </c>
      <c r="G89">
        <v>1.8</v>
      </c>
      <c r="H89">
        <v>0</v>
      </c>
      <c r="I89">
        <v>0</v>
      </c>
      <c r="J89">
        <v>15</v>
      </c>
      <c r="K89" s="11" t="str">
        <f>VLOOKUP(materials[[#This Row],[Column1.projectId]],projects[],2,FALSE)</f>
        <v>Endurokote</v>
      </c>
    </row>
    <row r="90" spans="1:11" x14ac:dyDescent="0.45">
      <c r="A90">
        <v>18</v>
      </c>
      <c r="B90">
        <v>94</v>
      </c>
      <c r="C90" t="s">
        <v>90</v>
      </c>
      <c r="D90">
        <v>120</v>
      </c>
      <c r="E90">
        <v>28.8855</v>
      </c>
      <c r="F90">
        <v>55</v>
      </c>
      <c r="G90">
        <v>250</v>
      </c>
      <c r="H90">
        <v>0</v>
      </c>
      <c r="I90">
        <v>100</v>
      </c>
      <c r="J90">
        <v>4</v>
      </c>
      <c r="K90" s="11" t="str">
        <f>VLOOKUP(materials[[#This Row],[Column1.projectId]],projects[],2,FALSE)</f>
        <v>Reseal all systems</v>
      </c>
    </row>
    <row r="91" spans="1:11" x14ac:dyDescent="0.45">
      <c r="A91">
        <v>18</v>
      </c>
      <c r="B91">
        <v>95</v>
      </c>
      <c r="C91" t="s">
        <v>91</v>
      </c>
      <c r="D91">
        <v>1</v>
      </c>
      <c r="E91">
        <v>2.5000000000000001E-2</v>
      </c>
      <c r="F91">
        <v>0</v>
      </c>
      <c r="G91">
        <v>1000</v>
      </c>
      <c r="H91">
        <v>0</v>
      </c>
      <c r="I91">
        <v>0</v>
      </c>
      <c r="J91">
        <v>4</v>
      </c>
      <c r="K91" s="11" t="str">
        <f>VLOOKUP(materials[[#This Row],[Column1.projectId]],projects[],2,FALSE)</f>
        <v>Reseal all systems</v>
      </c>
    </row>
    <row r="92" spans="1:11" x14ac:dyDescent="0.45">
      <c r="A92">
        <v>18</v>
      </c>
      <c r="B92">
        <v>96</v>
      </c>
      <c r="C92" t="s">
        <v>92</v>
      </c>
      <c r="D92">
        <v>1</v>
      </c>
      <c r="E92">
        <v>3</v>
      </c>
      <c r="F92">
        <v>2.5</v>
      </c>
      <c r="G92">
        <v>3.5</v>
      </c>
      <c r="H92">
        <v>0</v>
      </c>
      <c r="I92">
        <v>0</v>
      </c>
      <c r="J92">
        <v>6</v>
      </c>
      <c r="K92" s="11" t="str">
        <f>VLOOKUP(materials[[#This Row],[Column1.projectId]],projects[],2,FALSE)</f>
        <v>Reseal all systems</v>
      </c>
    </row>
    <row r="93" spans="1:11" x14ac:dyDescent="0.45">
      <c r="A93">
        <v>18</v>
      </c>
      <c r="B93">
        <v>97</v>
      </c>
      <c r="C93" t="s">
        <v>93</v>
      </c>
      <c r="D93">
        <v>1</v>
      </c>
      <c r="E93">
        <v>3.5</v>
      </c>
      <c r="F93">
        <v>2.5</v>
      </c>
      <c r="G93">
        <v>12</v>
      </c>
      <c r="H93">
        <v>0</v>
      </c>
      <c r="I93">
        <v>0</v>
      </c>
      <c r="J93">
        <v>12</v>
      </c>
      <c r="K93" s="11" t="str">
        <f>VLOOKUP(materials[[#This Row],[Column1.projectId]],projects[],2,FALSE)</f>
        <v>Reseal all systems</v>
      </c>
    </row>
    <row r="94" spans="1:11" x14ac:dyDescent="0.45">
      <c r="A94">
        <v>18</v>
      </c>
      <c r="B94">
        <v>98</v>
      </c>
      <c r="C94" t="s">
        <v>42</v>
      </c>
      <c r="D94">
        <v>0</v>
      </c>
      <c r="E94">
        <v>113.1165</v>
      </c>
      <c r="F94">
        <v>55</v>
      </c>
      <c r="G94">
        <v>0</v>
      </c>
      <c r="H94">
        <v>0</v>
      </c>
      <c r="I94">
        <v>0</v>
      </c>
      <c r="J94">
        <v>0</v>
      </c>
      <c r="K94" s="11" t="str">
        <f>VLOOKUP(materials[[#This Row],[Column1.projectId]],projects[],2,FALSE)</f>
        <v>Reseal all systems</v>
      </c>
    </row>
    <row r="95" spans="1:11" x14ac:dyDescent="0.45">
      <c r="A95">
        <v>18</v>
      </c>
      <c r="B95">
        <v>99</v>
      </c>
      <c r="C95" t="s">
        <v>43</v>
      </c>
      <c r="D95">
        <v>150</v>
      </c>
      <c r="E95">
        <v>28.8855</v>
      </c>
      <c r="F95">
        <v>55</v>
      </c>
      <c r="G95">
        <v>120</v>
      </c>
      <c r="H95">
        <v>0</v>
      </c>
      <c r="I95">
        <v>50</v>
      </c>
      <c r="J95">
        <v>3</v>
      </c>
      <c r="K95" s="11" t="str">
        <f>VLOOKUP(materials[[#This Row],[Column1.projectId]],projects[],2,FALSE)</f>
        <v>Reseal all systems</v>
      </c>
    </row>
    <row r="96" spans="1:11" x14ac:dyDescent="0.45">
      <c r="A96">
        <v>18</v>
      </c>
      <c r="B96">
        <v>100</v>
      </c>
      <c r="C96" t="s">
        <v>94</v>
      </c>
      <c r="D96">
        <v>150</v>
      </c>
      <c r="E96">
        <v>20.947500000000002</v>
      </c>
      <c r="F96">
        <v>40</v>
      </c>
      <c r="G96">
        <v>180</v>
      </c>
      <c r="H96">
        <v>0</v>
      </c>
      <c r="I96">
        <v>62</v>
      </c>
      <c r="J96">
        <v>3</v>
      </c>
      <c r="K96" s="11" t="str">
        <f>VLOOKUP(materials[[#This Row],[Column1.projectId]],projects[],2,FALSE)</f>
        <v>Reseal all systems</v>
      </c>
    </row>
    <row r="97" spans="1:11" x14ac:dyDescent="0.45">
      <c r="A97">
        <v>18</v>
      </c>
      <c r="B97">
        <v>101</v>
      </c>
      <c r="C97" t="s">
        <v>69</v>
      </c>
      <c r="D97">
        <v>150</v>
      </c>
      <c r="E97">
        <v>20.947500000000002</v>
      </c>
      <c r="F97">
        <v>40</v>
      </c>
      <c r="G97">
        <v>180</v>
      </c>
      <c r="H97">
        <v>0</v>
      </c>
      <c r="I97">
        <v>62</v>
      </c>
      <c r="J97">
        <v>3</v>
      </c>
      <c r="K97" s="11" t="str">
        <f>VLOOKUP(materials[[#This Row],[Column1.projectId]],projects[],2,FALSE)</f>
        <v>Reseal all systems</v>
      </c>
    </row>
    <row r="98" spans="1:11" x14ac:dyDescent="0.45">
      <c r="A98">
        <v>18</v>
      </c>
      <c r="B98">
        <v>102</v>
      </c>
      <c r="C98" t="s">
        <v>66</v>
      </c>
      <c r="D98">
        <v>5000</v>
      </c>
      <c r="E98">
        <v>113.1165</v>
      </c>
      <c r="F98">
        <v>55</v>
      </c>
      <c r="G98">
        <v>120</v>
      </c>
      <c r="H98">
        <v>0</v>
      </c>
      <c r="I98">
        <v>62</v>
      </c>
      <c r="J98">
        <v>2</v>
      </c>
      <c r="K98" s="11" t="str">
        <f>VLOOKUP(materials[[#This Row],[Column1.projectId]],projects[],2,FALSE)</f>
        <v>Reseal all systems</v>
      </c>
    </row>
    <row r="99" spans="1:11" x14ac:dyDescent="0.45">
      <c r="A99">
        <v>18</v>
      </c>
      <c r="B99">
        <v>103</v>
      </c>
      <c r="C99" t="s">
        <v>95</v>
      </c>
      <c r="D99">
        <v>800</v>
      </c>
      <c r="E99">
        <v>128.01</v>
      </c>
      <c r="F99">
        <v>55</v>
      </c>
      <c r="G99">
        <v>150</v>
      </c>
      <c r="H99">
        <v>0</v>
      </c>
      <c r="I99">
        <v>62</v>
      </c>
      <c r="J99">
        <v>4</v>
      </c>
      <c r="K99" s="11" t="str">
        <f>VLOOKUP(materials[[#This Row],[Column1.projectId]],projects[],2,FALSE)</f>
        <v>Reseal all systems</v>
      </c>
    </row>
    <row r="100" spans="1:11" x14ac:dyDescent="0.45">
      <c r="A100">
        <v>18</v>
      </c>
      <c r="B100">
        <v>104</v>
      </c>
      <c r="C100" t="s">
        <v>96</v>
      </c>
      <c r="D100">
        <v>800</v>
      </c>
      <c r="E100">
        <v>257.44</v>
      </c>
      <c r="F100">
        <v>55</v>
      </c>
      <c r="G100">
        <v>150</v>
      </c>
      <c r="H100">
        <v>0</v>
      </c>
      <c r="I100">
        <v>62</v>
      </c>
      <c r="J100">
        <v>4</v>
      </c>
      <c r="K100" s="11" t="str">
        <f>VLOOKUP(materials[[#This Row],[Column1.projectId]],projects[],2,FALSE)</f>
        <v>Reseal all systems</v>
      </c>
    </row>
    <row r="101" spans="1:11" x14ac:dyDescent="0.45">
      <c r="A101">
        <v>18</v>
      </c>
      <c r="B101">
        <v>105</v>
      </c>
      <c r="C101" t="s">
        <v>97</v>
      </c>
      <c r="D101">
        <v>800</v>
      </c>
      <c r="E101">
        <v>233.75125</v>
      </c>
      <c r="F101">
        <v>55</v>
      </c>
      <c r="G101">
        <v>150</v>
      </c>
      <c r="H101">
        <v>0</v>
      </c>
      <c r="I101">
        <v>62</v>
      </c>
      <c r="J101">
        <v>4</v>
      </c>
      <c r="K101" s="11" t="str">
        <f>VLOOKUP(materials[[#This Row],[Column1.projectId]],projects[],2,FALSE)</f>
        <v>Reseal all systems</v>
      </c>
    </row>
    <row r="102" spans="1:11" x14ac:dyDescent="0.45">
      <c r="A102">
        <v>18</v>
      </c>
      <c r="B102">
        <v>106</v>
      </c>
      <c r="C102" t="s">
        <v>98</v>
      </c>
      <c r="D102">
        <v>800</v>
      </c>
      <c r="E102">
        <v>155.41999999999999</v>
      </c>
      <c r="F102">
        <v>55</v>
      </c>
      <c r="G102">
        <v>150</v>
      </c>
      <c r="H102">
        <v>0</v>
      </c>
      <c r="I102">
        <v>62</v>
      </c>
      <c r="J102">
        <v>4</v>
      </c>
      <c r="K102" s="11" t="str">
        <f>VLOOKUP(materials[[#This Row],[Column1.projectId]],projects[],2,FALSE)</f>
        <v>Reseal all systems</v>
      </c>
    </row>
    <row r="103" spans="1:11" x14ac:dyDescent="0.45">
      <c r="A103">
        <v>18</v>
      </c>
      <c r="B103">
        <v>107</v>
      </c>
      <c r="C103" t="s">
        <v>99</v>
      </c>
      <c r="D103">
        <v>800</v>
      </c>
      <c r="E103">
        <v>280.94</v>
      </c>
      <c r="F103">
        <v>55</v>
      </c>
      <c r="G103">
        <v>150</v>
      </c>
      <c r="H103">
        <v>0</v>
      </c>
      <c r="I103">
        <v>62</v>
      </c>
      <c r="J103">
        <v>4</v>
      </c>
      <c r="K103" s="11" t="str">
        <f>VLOOKUP(materials[[#This Row],[Column1.projectId]],projects[],2,FALSE)</f>
        <v>Reseal all systems</v>
      </c>
    </row>
    <row r="104" spans="1:11" x14ac:dyDescent="0.45">
      <c r="A104">
        <v>18</v>
      </c>
      <c r="B104">
        <v>108</v>
      </c>
      <c r="C104" t="s">
        <v>100</v>
      </c>
      <c r="D104">
        <v>800</v>
      </c>
      <c r="E104">
        <v>225.75</v>
      </c>
      <c r="F104">
        <v>55</v>
      </c>
      <c r="G104">
        <v>150</v>
      </c>
      <c r="H104">
        <v>0</v>
      </c>
      <c r="I104">
        <v>62</v>
      </c>
      <c r="J104">
        <v>4</v>
      </c>
      <c r="K104" s="11" t="str">
        <f>VLOOKUP(materials[[#This Row],[Column1.projectId]],projects[],2,FALSE)</f>
        <v>Reseal all systems</v>
      </c>
    </row>
    <row r="105" spans="1:11" x14ac:dyDescent="0.45">
      <c r="A105">
        <v>15</v>
      </c>
      <c r="B105">
        <v>109</v>
      </c>
      <c r="C105" t="s">
        <v>61</v>
      </c>
      <c r="D105">
        <v>0</v>
      </c>
      <c r="E105">
        <v>0</v>
      </c>
      <c r="F105">
        <v>0</v>
      </c>
      <c r="G105">
        <v>300</v>
      </c>
      <c r="H105">
        <v>0</v>
      </c>
      <c r="I105">
        <v>100</v>
      </c>
      <c r="J105">
        <v>4</v>
      </c>
      <c r="K105" s="11" t="str">
        <f>VLOOKUP(materials[[#This Row],[Column1.projectId]],projects[],2,FALSE)</f>
        <v>Color Wash Reseal</v>
      </c>
    </row>
    <row r="106" spans="1:11" x14ac:dyDescent="0.45">
      <c r="A106">
        <v>15</v>
      </c>
      <c r="B106">
        <v>110</v>
      </c>
      <c r="C106" t="s">
        <v>101</v>
      </c>
      <c r="D106">
        <v>1</v>
      </c>
      <c r="E106">
        <v>5</v>
      </c>
      <c r="F106">
        <v>2.5</v>
      </c>
      <c r="G106">
        <v>40</v>
      </c>
      <c r="H106">
        <v>0</v>
      </c>
      <c r="I106">
        <v>0</v>
      </c>
      <c r="J106">
        <v>6</v>
      </c>
      <c r="K106" s="11" t="str">
        <f>VLOOKUP(materials[[#This Row],[Column1.projectId]],projects[],2,FALSE)</f>
        <v>Color Wash Reseal</v>
      </c>
    </row>
    <row r="107" spans="1:11" x14ac:dyDescent="0.45">
      <c r="A107">
        <v>15</v>
      </c>
      <c r="B107">
        <v>111</v>
      </c>
      <c r="C107" t="s">
        <v>102</v>
      </c>
      <c r="D107">
        <v>1</v>
      </c>
      <c r="E107">
        <v>5</v>
      </c>
      <c r="F107">
        <v>2.5</v>
      </c>
      <c r="G107">
        <v>15</v>
      </c>
      <c r="H107">
        <v>0</v>
      </c>
      <c r="I107">
        <v>0</v>
      </c>
      <c r="J107">
        <v>6</v>
      </c>
      <c r="K107" s="11" t="str">
        <f>VLOOKUP(materials[[#This Row],[Column1.projectId]],projects[],2,FALSE)</f>
        <v>Color Wash Reseal</v>
      </c>
    </row>
    <row r="108" spans="1:11" x14ac:dyDescent="0.45">
      <c r="A108">
        <v>15</v>
      </c>
      <c r="B108">
        <v>112</v>
      </c>
      <c r="C108" t="s">
        <v>103</v>
      </c>
      <c r="D108">
        <v>1000</v>
      </c>
      <c r="E108">
        <v>15</v>
      </c>
      <c r="F108">
        <v>5</v>
      </c>
      <c r="G108">
        <v>500</v>
      </c>
      <c r="H108">
        <v>0</v>
      </c>
      <c r="I108">
        <v>100</v>
      </c>
      <c r="J108">
        <v>3</v>
      </c>
      <c r="K108" s="11" t="str">
        <f>VLOOKUP(materials[[#This Row],[Column1.projectId]],projects[],2,FALSE)</f>
        <v>Color Wash Reseal</v>
      </c>
    </row>
    <row r="109" spans="1:11" x14ac:dyDescent="0.45">
      <c r="A109">
        <v>15</v>
      </c>
      <c r="B109">
        <v>113</v>
      </c>
      <c r="C109" t="s">
        <v>104</v>
      </c>
      <c r="D109">
        <v>1000</v>
      </c>
      <c r="E109">
        <v>8</v>
      </c>
      <c r="F109">
        <v>2</v>
      </c>
      <c r="G109">
        <v>600</v>
      </c>
      <c r="H109">
        <v>0</v>
      </c>
      <c r="I109">
        <v>100</v>
      </c>
      <c r="J109">
        <v>0</v>
      </c>
      <c r="K109" s="11" t="str">
        <f>VLOOKUP(materials[[#This Row],[Column1.projectId]],projects[],2,FALSE)</f>
        <v>Color Wash Reseal</v>
      </c>
    </row>
    <row r="110" spans="1:11" x14ac:dyDescent="0.45">
      <c r="A110">
        <v>15</v>
      </c>
      <c r="B110">
        <v>114</v>
      </c>
      <c r="C110" t="s">
        <v>105</v>
      </c>
      <c r="D110">
        <v>1250</v>
      </c>
      <c r="E110">
        <v>381.27</v>
      </c>
      <c r="F110">
        <v>55</v>
      </c>
      <c r="G110">
        <v>250</v>
      </c>
      <c r="H110">
        <v>0</v>
      </c>
      <c r="I110">
        <v>200</v>
      </c>
      <c r="J110">
        <v>4</v>
      </c>
      <c r="K110" s="11" t="str">
        <f>VLOOKUP(materials[[#This Row],[Column1.projectId]],projects[],2,FALSE)</f>
        <v>Color Wash Reseal</v>
      </c>
    </row>
    <row r="111" spans="1:11" x14ac:dyDescent="0.45">
      <c r="A111">
        <v>15</v>
      </c>
      <c r="B111">
        <v>115</v>
      </c>
      <c r="C111" t="s">
        <v>106</v>
      </c>
      <c r="D111">
        <v>800</v>
      </c>
      <c r="E111">
        <v>257.44</v>
      </c>
      <c r="F111">
        <v>55</v>
      </c>
      <c r="G111">
        <v>150</v>
      </c>
      <c r="H111">
        <v>0</v>
      </c>
      <c r="I111">
        <v>62</v>
      </c>
      <c r="J111">
        <v>4</v>
      </c>
      <c r="K111" s="11" t="str">
        <f>VLOOKUP(materials[[#This Row],[Column1.projectId]],projects[],2,FALSE)</f>
        <v>Color Wash Reseal</v>
      </c>
    </row>
    <row r="112" spans="1:11" x14ac:dyDescent="0.45">
      <c r="A112">
        <v>15</v>
      </c>
      <c r="B112">
        <v>116</v>
      </c>
      <c r="C112" t="s">
        <v>107</v>
      </c>
      <c r="D112">
        <v>0</v>
      </c>
      <c r="E112">
        <v>17.72</v>
      </c>
      <c r="F112">
        <v>3</v>
      </c>
      <c r="G112">
        <v>0</v>
      </c>
      <c r="H112">
        <v>0</v>
      </c>
      <c r="I112">
        <v>0</v>
      </c>
      <c r="J112">
        <v>0</v>
      </c>
      <c r="K112" s="11" t="str">
        <f>VLOOKUP(materials[[#This Row],[Column1.projectId]],projects[],2,FALSE)</f>
        <v>Color Wash Reseal</v>
      </c>
    </row>
    <row r="113" spans="1:11" x14ac:dyDescent="0.45">
      <c r="A113">
        <v>15</v>
      </c>
      <c r="B113">
        <v>117</v>
      </c>
      <c r="C113" t="s">
        <v>108</v>
      </c>
      <c r="D113">
        <v>200</v>
      </c>
      <c r="E113">
        <v>1.28125</v>
      </c>
      <c r="F113">
        <v>0.1</v>
      </c>
      <c r="G113">
        <v>100</v>
      </c>
      <c r="H113">
        <v>0</v>
      </c>
      <c r="I113">
        <v>0</v>
      </c>
      <c r="J113">
        <v>2</v>
      </c>
      <c r="K113" s="11" t="str">
        <f>VLOOKUP(materials[[#This Row],[Column1.projectId]],projects[],2,FALSE)</f>
        <v>Color Wash Reseal</v>
      </c>
    </row>
    <row r="114" spans="1:11" x14ac:dyDescent="0.45">
      <c r="A114">
        <v>5</v>
      </c>
      <c r="B114">
        <v>118</v>
      </c>
      <c r="C114" t="s">
        <v>109</v>
      </c>
      <c r="D114">
        <v>18</v>
      </c>
      <c r="E114">
        <v>8.96875</v>
      </c>
      <c r="F114">
        <v>3</v>
      </c>
      <c r="G114">
        <v>120</v>
      </c>
      <c r="H114">
        <v>0</v>
      </c>
      <c r="I114">
        <v>0</v>
      </c>
      <c r="J114">
        <v>0.75</v>
      </c>
      <c r="K114" s="11" t="str">
        <f>VLOOKUP(materials[[#This Row],[Column1.projectId]],projects[],2,FALSE)</f>
        <v>Desert Crete</v>
      </c>
    </row>
    <row r="115" spans="1:11" x14ac:dyDescent="0.45">
      <c r="A115">
        <v>5</v>
      </c>
      <c r="B115">
        <v>119</v>
      </c>
      <c r="C115" t="s">
        <v>110</v>
      </c>
      <c r="D115">
        <v>600</v>
      </c>
      <c r="E115">
        <v>66.625</v>
      </c>
      <c r="F115">
        <v>5</v>
      </c>
      <c r="G115">
        <v>0</v>
      </c>
      <c r="H115">
        <v>0</v>
      </c>
      <c r="I115">
        <v>0</v>
      </c>
      <c r="J115">
        <v>0</v>
      </c>
      <c r="K115" s="11" t="str">
        <f>VLOOKUP(materials[[#This Row],[Column1.projectId]],projects[],2,FALSE)</f>
        <v>Desert Crete</v>
      </c>
    </row>
    <row r="116" spans="1:11" x14ac:dyDescent="0.45">
      <c r="A116">
        <v>5</v>
      </c>
      <c r="B116">
        <v>120</v>
      </c>
      <c r="C116" t="s">
        <v>111</v>
      </c>
      <c r="D116">
        <v>250</v>
      </c>
      <c r="E116">
        <v>122.74375000000001</v>
      </c>
      <c r="F116">
        <v>55</v>
      </c>
      <c r="G116">
        <v>160</v>
      </c>
      <c r="H116">
        <v>0</v>
      </c>
      <c r="I116">
        <v>0</v>
      </c>
      <c r="J116">
        <v>0.75</v>
      </c>
      <c r="K116" s="11" t="str">
        <f>VLOOKUP(materials[[#This Row],[Column1.projectId]],projects[],2,FALSE)</f>
        <v>Desert Crete</v>
      </c>
    </row>
    <row r="117" spans="1:11" x14ac:dyDescent="0.45">
      <c r="A117">
        <v>5</v>
      </c>
      <c r="B117">
        <v>121</v>
      </c>
      <c r="C117" t="s">
        <v>112</v>
      </c>
      <c r="D117">
        <v>2000</v>
      </c>
      <c r="E117">
        <v>244.46250000000001</v>
      </c>
      <c r="F117">
        <v>50</v>
      </c>
      <c r="G117">
        <v>160</v>
      </c>
      <c r="H117">
        <v>0</v>
      </c>
      <c r="I117">
        <v>0</v>
      </c>
      <c r="J117">
        <v>0.75</v>
      </c>
      <c r="K117" s="11" t="str">
        <f>VLOOKUP(materials[[#This Row],[Column1.projectId]],projects[],2,FALSE)</f>
        <v>Desert Crete</v>
      </c>
    </row>
    <row r="118" spans="1:11" x14ac:dyDescent="0.45">
      <c r="A118">
        <v>5</v>
      </c>
      <c r="B118">
        <v>122</v>
      </c>
      <c r="C118" t="s">
        <v>113</v>
      </c>
      <c r="D118">
        <v>33</v>
      </c>
      <c r="E118">
        <v>10.32175</v>
      </c>
      <c r="F118">
        <v>50</v>
      </c>
      <c r="G118">
        <v>180</v>
      </c>
      <c r="H118">
        <v>0</v>
      </c>
      <c r="I118">
        <v>30</v>
      </c>
      <c r="J118">
        <v>0.75</v>
      </c>
      <c r="K118" s="11" t="str">
        <f>VLOOKUP(materials[[#This Row],[Column1.projectId]],projects[],2,FALSE)</f>
        <v>Desert Crete</v>
      </c>
    </row>
    <row r="119" spans="1:11" x14ac:dyDescent="0.45">
      <c r="A119">
        <v>5</v>
      </c>
      <c r="B119">
        <v>123</v>
      </c>
      <c r="C119" t="s">
        <v>114</v>
      </c>
      <c r="D119">
        <v>33</v>
      </c>
      <c r="E119">
        <v>30.852499999999999</v>
      </c>
      <c r="F119">
        <v>50</v>
      </c>
      <c r="G119">
        <v>180</v>
      </c>
      <c r="H119">
        <v>0</v>
      </c>
      <c r="I119">
        <v>30</v>
      </c>
      <c r="J119">
        <v>0.75</v>
      </c>
      <c r="K119" s="11" t="str">
        <f>VLOOKUP(materials[[#This Row],[Column1.projectId]],projects[],2,FALSE)</f>
        <v>Desert Crete</v>
      </c>
    </row>
    <row r="120" spans="1:11" x14ac:dyDescent="0.45">
      <c r="A120">
        <v>5</v>
      </c>
      <c r="B120">
        <v>124</v>
      </c>
      <c r="C120" t="s">
        <v>115</v>
      </c>
      <c r="D120">
        <v>100</v>
      </c>
      <c r="E120">
        <v>30.852499999999999</v>
      </c>
      <c r="F120">
        <v>50</v>
      </c>
      <c r="G120">
        <v>100</v>
      </c>
      <c r="H120">
        <v>0</v>
      </c>
      <c r="I120">
        <v>30</v>
      </c>
      <c r="J120">
        <v>0.75</v>
      </c>
      <c r="K120" s="11" t="str">
        <f>VLOOKUP(materials[[#This Row],[Column1.projectId]],projects[],2,FALSE)</f>
        <v>Desert Crete</v>
      </c>
    </row>
    <row r="121" spans="1:11" x14ac:dyDescent="0.45">
      <c r="A121">
        <v>5</v>
      </c>
      <c r="B121">
        <v>125</v>
      </c>
      <c r="C121" t="s">
        <v>116</v>
      </c>
      <c r="D121">
        <v>125</v>
      </c>
      <c r="E121">
        <v>30.852499999999999</v>
      </c>
      <c r="F121">
        <v>50</v>
      </c>
      <c r="G121">
        <v>120</v>
      </c>
      <c r="H121">
        <v>0</v>
      </c>
      <c r="I121">
        <v>30</v>
      </c>
      <c r="J121">
        <v>0.75</v>
      </c>
      <c r="K121" s="11" t="str">
        <f>VLOOKUP(materials[[#This Row],[Column1.projectId]],projects[],2,FALSE)</f>
        <v>Desert Crete</v>
      </c>
    </row>
    <row r="122" spans="1:11" x14ac:dyDescent="0.45">
      <c r="A122">
        <v>5</v>
      </c>
      <c r="B122">
        <v>126</v>
      </c>
      <c r="C122" t="s">
        <v>117</v>
      </c>
      <c r="D122">
        <v>0</v>
      </c>
      <c r="E122">
        <v>104.03749999999999</v>
      </c>
      <c r="F122">
        <v>50</v>
      </c>
      <c r="G122">
        <v>0</v>
      </c>
      <c r="H122">
        <v>0</v>
      </c>
      <c r="I122">
        <v>0</v>
      </c>
      <c r="J122">
        <v>0</v>
      </c>
      <c r="K122" s="11" t="str">
        <f>VLOOKUP(materials[[#This Row],[Column1.projectId]],projects[],2,FALSE)</f>
        <v>Desert Crete</v>
      </c>
    </row>
    <row r="123" spans="1:11" x14ac:dyDescent="0.45">
      <c r="A123">
        <v>5</v>
      </c>
      <c r="B123">
        <v>127</v>
      </c>
      <c r="C123" t="s">
        <v>118</v>
      </c>
      <c r="D123">
        <v>800</v>
      </c>
      <c r="E123">
        <v>140.9375</v>
      </c>
      <c r="F123">
        <v>55</v>
      </c>
      <c r="G123">
        <v>150</v>
      </c>
      <c r="H123">
        <v>0</v>
      </c>
      <c r="I123">
        <v>62</v>
      </c>
      <c r="J123">
        <v>0.75</v>
      </c>
      <c r="K123" s="11" t="str">
        <f>VLOOKUP(materials[[#This Row],[Column1.projectId]],projects[],2,FALSE)</f>
        <v>Desert Crete</v>
      </c>
    </row>
    <row r="124" spans="1:11" x14ac:dyDescent="0.45">
      <c r="A124">
        <v>5</v>
      </c>
      <c r="B124">
        <v>128</v>
      </c>
      <c r="C124" t="s">
        <v>119</v>
      </c>
      <c r="D124">
        <v>2500</v>
      </c>
      <c r="E124">
        <v>104.03749999999999</v>
      </c>
      <c r="F124">
        <v>55</v>
      </c>
      <c r="G124">
        <v>0</v>
      </c>
      <c r="H124">
        <v>0</v>
      </c>
      <c r="I124">
        <v>0</v>
      </c>
      <c r="J124">
        <v>0</v>
      </c>
      <c r="K124" s="11" t="str">
        <f>VLOOKUP(materials[[#This Row],[Column1.projectId]],projects[],2,FALSE)</f>
        <v>Desert Crete</v>
      </c>
    </row>
    <row r="125" spans="1:11" x14ac:dyDescent="0.45">
      <c r="A125">
        <v>5</v>
      </c>
      <c r="B125">
        <v>129</v>
      </c>
      <c r="C125" t="s">
        <v>89</v>
      </c>
      <c r="D125">
        <v>1</v>
      </c>
      <c r="E125">
        <v>3.11</v>
      </c>
      <c r="F125">
        <v>0.41</v>
      </c>
      <c r="G125">
        <v>0</v>
      </c>
      <c r="H125">
        <v>0</v>
      </c>
      <c r="I125">
        <v>31.82</v>
      </c>
      <c r="J125">
        <v>0</v>
      </c>
      <c r="K125" s="11" t="str">
        <f>VLOOKUP(materials[[#This Row],[Column1.projectId]],projects[],2,FALSE)</f>
        <v>Desert Crete</v>
      </c>
    </row>
    <row r="126" spans="1:11" x14ac:dyDescent="0.45">
      <c r="A126">
        <v>5</v>
      </c>
      <c r="B126">
        <v>130</v>
      </c>
      <c r="C126" t="s">
        <v>55</v>
      </c>
      <c r="D126">
        <v>1</v>
      </c>
      <c r="E126">
        <v>3.11</v>
      </c>
      <c r="F126">
        <v>0.41</v>
      </c>
      <c r="G126">
        <v>0</v>
      </c>
      <c r="H126">
        <v>0</v>
      </c>
      <c r="I126">
        <v>31.82</v>
      </c>
      <c r="J126">
        <v>0</v>
      </c>
      <c r="K126" s="11" t="str">
        <f>VLOOKUP(materials[[#This Row],[Column1.projectId]],projects[],2,FALSE)</f>
        <v>Desert Crete</v>
      </c>
    </row>
    <row r="127" spans="1:11" x14ac:dyDescent="0.45">
      <c r="A127">
        <v>5</v>
      </c>
      <c r="B127">
        <v>131</v>
      </c>
      <c r="C127" t="s">
        <v>76</v>
      </c>
      <c r="D127">
        <v>1</v>
      </c>
      <c r="E127">
        <v>65</v>
      </c>
      <c r="F127">
        <v>55</v>
      </c>
      <c r="G127">
        <v>10.3</v>
      </c>
      <c r="H127">
        <v>0</v>
      </c>
      <c r="I127">
        <v>0</v>
      </c>
      <c r="J127">
        <v>6.4</v>
      </c>
      <c r="K127" s="11" t="str">
        <f>VLOOKUP(materials[[#This Row],[Column1.projectId]],projects[],2,FALSE)</f>
        <v>Desert Crete</v>
      </c>
    </row>
    <row r="128" spans="1:11" x14ac:dyDescent="0.45">
      <c r="A128">
        <v>5</v>
      </c>
      <c r="B128">
        <v>132</v>
      </c>
      <c r="C128" t="s">
        <v>57</v>
      </c>
      <c r="D128">
        <v>1</v>
      </c>
      <c r="E128">
        <v>3.9375</v>
      </c>
      <c r="F128">
        <v>3</v>
      </c>
      <c r="G128">
        <v>1.8</v>
      </c>
      <c r="H128">
        <v>0</v>
      </c>
      <c r="I128">
        <v>0</v>
      </c>
      <c r="J128">
        <v>15</v>
      </c>
      <c r="K128" s="11" t="str">
        <f>VLOOKUP(materials[[#This Row],[Column1.projectId]],projects[],2,FALSE)</f>
        <v>Desert Crete</v>
      </c>
    </row>
    <row r="129" spans="1:11" x14ac:dyDescent="0.45">
      <c r="A129">
        <v>12</v>
      </c>
      <c r="B129">
        <v>133</v>
      </c>
      <c r="C129" t="s">
        <v>120</v>
      </c>
      <c r="D129">
        <v>32</v>
      </c>
      <c r="E129">
        <v>154.41999999999999</v>
      </c>
      <c r="F129">
        <v>55</v>
      </c>
      <c r="G129">
        <v>0</v>
      </c>
      <c r="H129">
        <v>0</v>
      </c>
      <c r="I129">
        <v>12</v>
      </c>
      <c r="J129">
        <v>0</v>
      </c>
      <c r="K129" s="11" t="str">
        <f>VLOOKUP(materials[[#This Row],[Column1.projectId]],projects[],2,FALSE)</f>
        <v>Pedestrian System</v>
      </c>
    </row>
    <row r="130" spans="1:11" x14ac:dyDescent="0.45">
      <c r="A130">
        <v>12</v>
      </c>
      <c r="B130">
        <v>134</v>
      </c>
      <c r="C130" t="s">
        <v>121</v>
      </c>
      <c r="D130">
        <v>32</v>
      </c>
      <c r="E130">
        <v>154.41999999999999</v>
      </c>
      <c r="F130">
        <v>55</v>
      </c>
      <c r="G130">
        <v>12</v>
      </c>
      <c r="H130">
        <v>0</v>
      </c>
      <c r="I130">
        <v>12</v>
      </c>
      <c r="J130">
        <v>0</v>
      </c>
      <c r="K130" s="11" t="str">
        <f>VLOOKUP(materials[[#This Row],[Column1.projectId]],projects[],2,FALSE)</f>
        <v>Pedestrian System</v>
      </c>
    </row>
    <row r="131" spans="1:11" x14ac:dyDescent="0.45">
      <c r="A131">
        <v>12</v>
      </c>
      <c r="B131">
        <v>135</v>
      </c>
      <c r="C131" t="s">
        <v>122</v>
      </c>
      <c r="D131">
        <v>700</v>
      </c>
      <c r="E131">
        <v>76.069999999999993</v>
      </c>
      <c r="F131">
        <v>20</v>
      </c>
      <c r="G131">
        <v>180</v>
      </c>
      <c r="H131">
        <v>0</v>
      </c>
      <c r="I131">
        <v>140</v>
      </c>
      <c r="J131">
        <v>0</v>
      </c>
      <c r="K131" s="11" t="str">
        <f>VLOOKUP(materials[[#This Row],[Column1.projectId]],projects[],2,FALSE)</f>
        <v>Pedestrian System</v>
      </c>
    </row>
    <row r="132" spans="1:11" x14ac:dyDescent="0.45">
      <c r="A132">
        <v>12</v>
      </c>
      <c r="B132">
        <v>136</v>
      </c>
      <c r="C132" t="s">
        <v>123</v>
      </c>
      <c r="D132">
        <v>1665</v>
      </c>
      <c r="E132">
        <v>65.48</v>
      </c>
      <c r="F132">
        <v>55</v>
      </c>
      <c r="G132">
        <v>300</v>
      </c>
      <c r="H132">
        <v>0</v>
      </c>
      <c r="I132">
        <v>140</v>
      </c>
      <c r="J132">
        <v>0</v>
      </c>
      <c r="K132" s="11" t="str">
        <f>VLOOKUP(materials[[#This Row],[Column1.projectId]],projects[],2,FALSE)</f>
        <v>Pedestrian System</v>
      </c>
    </row>
    <row r="133" spans="1:11" x14ac:dyDescent="0.45">
      <c r="A133">
        <v>12</v>
      </c>
      <c r="B133">
        <v>137</v>
      </c>
      <c r="C133" t="s">
        <v>124</v>
      </c>
      <c r="D133">
        <v>250</v>
      </c>
      <c r="E133">
        <v>154.41999999999999</v>
      </c>
      <c r="F133">
        <v>55</v>
      </c>
      <c r="G133">
        <v>120</v>
      </c>
      <c r="H133">
        <v>0</v>
      </c>
      <c r="I133">
        <v>3.6</v>
      </c>
      <c r="J133">
        <v>4</v>
      </c>
      <c r="K133" s="11" t="str">
        <f>VLOOKUP(materials[[#This Row],[Column1.projectId]],projects[],2,FALSE)</f>
        <v>Pedestrian System</v>
      </c>
    </row>
    <row r="134" spans="1:11" x14ac:dyDescent="0.45">
      <c r="A134">
        <v>12</v>
      </c>
      <c r="B134">
        <v>138</v>
      </c>
      <c r="C134" t="s">
        <v>125</v>
      </c>
      <c r="D134">
        <v>350</v>
      </c>
      <c r="E134">
        <v>203.17</v>
      </c>
      <c r="F134">
        <v>55</v>
      </c>
      <c r="G134">
        <v>120</v>
      </c>
      <c r="H134">
        <v>0</v>
      </c>
      <c r="I134">
        <v>3.6</v>
      </c>
      <c r="J134">
        <v>4</v>
      </c>
      <c r="K134" s="11" t="str">
        <f>VLOOKUP(materials[[#This Row],[Column1.projectId]],projects[],2,FALSE)</f>
        <v>Pedestrian System</v>
      </c>
    </row>
    <row r="135" spans="1:11" x14ac:dyDescent="0.45">
      <c r="A135">
        <v>12</v>
      </c>
      <c r="B135">
        <v>139</v>
      </c>
      <c r="C135" t="s">
        <v>126</v>
      </c>
      <c r="D135">
        <v>400</v>
      </c>
      <c r="E135">
        <v>271.99</v>
      </c>
      <c r="F135">
        <v>55</v>
      </c>
      <c r="G135">
        <v>150</v>
      </c>
      <c r="H135">
        <v>0</v>
      </c>
      <c r="I135">
        <v>3.6</v>
      </c>
      <c r="J135">
        <v>4</v>
      </c>
      <c r="K135" s="11" t="str">
        <f>VLOOKUP(materials[[#This Row],[Column1.projectId]],projects[],2,FALSE)</f>
        <v>Pedestrian System</v>
      </c>
    </row>
    <row r="136" spans="1:11" x14ac:dyDescent="0.45">
      <c r="A136">
        <v>12</v>
      </c>
      <c r="B136">
        <v>140</v>
      </c>
      <c r="C136" t="s">
        <v>127</v>
      </c>
      <c r="D136">
        <v>150</v>
      </c>
      <c r="E136">
        <v>24.92</v>
      </c>
      <c r="F136">
        <v>100</v>
      </c>
      <c r="G136">
        <v>0</v>
      </c>
      <c r="H136">
        <v>0</v>
      </c>
      <c r="I136">
        <v>0</v>
      </c>
      <c r="J136">
        <v>0</v>
      </c>
      <c r="K136" s="11" t="str">
        <f>VLOOKUP(materials[[#This Row],[Column1.projectId]],projects[],2,FALSE)</f>
        <v>Pedestrian System</v>
      </c>
    </row>
    <row r="137" spans="1:11" x14ac:dyDescent="0.45">
      <c r="A137">
        <v>12</v>
      </c>
      <c r="B137">
        <v>141</v>
      </c>
      <c r="C137" t="s">
        <v>128</v>
      </c>
      <c r="D137">
        <v>150</v>
      </c>
      <c r="E137">
        <v>7.55</v>
      </c>
      <c r="F137">
        <v>0.5</v>
      </c>
      <c r="G137">
        <v>50</v>
      </c>
      <c r="H137">
        <v>0</v>
      </c>
      <c r="I137">
        <v>90</v>
      </c>
      <c r="J137">
        <v>2</v>
      </c>
      <c r="K137" s="11" t="str">
        <f>VLOOKUP(materials[[#This Row],[Column1.projectId]],projects[],2,FALSE)</f>
        <v>Pedestrian System</v>
      </c>
    </row>
    <row r="138" spans="1:11" x14ac:dyDescent="0.45">
      <c r="A138">
        <v>12</v>
      </c>
      <c r="B138">
        <v>142</v>
      </c>
      <c r="C138" t="s">
        <v>129</v>
      </c>
      <c r="D138">
        <v>18</v>
      </c>
      <c r="E138">
        <v>8.7100000000000009</v>
      </c>
      <c r="F138">
        <v>1</v>
      </c>
      <c r="G138">
        <v>0</v>
      </c>
      <c r="H138">
        <v>0</v>
      </c>
      <c r="I138">
        <v>0</v>
      </c>
      <c r="J138">
        <v>0</v>
      </c>
      <c r="K138" s="11" t="str">
        <f>VLOOKUP(materials[[#This Row],[Column1.projectId]],projects[],2,FALSE)</f>
        <v>Pedestrian System</v>
      </c>
    </row>
    <row r="139" spans="1:11" x14ac:dyDescent="0.45">
      <c r="A139">
        <v>12</v>
      </c>
      <c r="B139">
        <v>143</v>
      </c>
      <c r="C139" t="s">
        <v>130</v>
      </c>
      <c r="D139">
        <v>150</v>
      </c>
      <c r="E139">
        <v>8.02</v>
      </c>
      <c r="F139">
        <v>0.5</v>
      </c>
      <c r="G139">
        <v>50</v>
      </c>
      <c r="H139">
        <v>0</v>
      </c>
      <c r="I139">
        <v>90</v>
      </c>
      <c r="J139">
        <v>0</v>
      </c>
      <c r="K139" s="11" t="str">
        <f>VLOOKUP(materials[[#This Row],[Column1.projectId]],projects[],2,FALSE)</f>
        <v>Pedestrian System</v>
      </c>
    </row>
    <row r="140" spans="1:11" x14ac:dyDescent="0.45">
      <c r="A140">
        <v>12</v>
      </c>
      <c r="B140">
        <v>144</v>
      </c>
      <c r="C140" t="s">
        <v>131</v>
      </c>
      <c r="D140">
        <v>18</v>
      </c>
      <c r="E140">
        <v>8.7100000000000009</v>
      </c>
      <c r="F140">
        <v>1</v>
      </c>
      <c r="G140">
        <v>0</v>
      </c>
      <c r="H140">
        <v>0</v>
      </c>
      <c r="I140">
        <v>0</v>
      </c>
      <c r="J140">
        <v>0</v>
      </c>
      <c r="K140" s="11" t="str">
        <f>VLOOKUP(materials[[#This Row],[Column1.projectId]],projects[],2,FALSE)</f>
        <v>Pedestrian System</v>
      </c>
    </row>
    <row r="141" spans="1:11" x14ac:dyDescent="0.45">
      <c r="A141">
        <v>12</v>
      </c>
      <c r="B141">
        <v>145</v>
      </c>
      <c r="C141" t="s">
        <v>132</v>
      </c>
      <c r="D141">
        <v>600</v>
      </c>
      <c r="E141">
        <v>65.88</v>
      </c>
      <c r="F141">
        <v>15</v>
      </c>
      <c r="G141">
        <v>300</v>
      </c>
      <c r="H141">
        <v>0</v>
      </c>
      <c r="I141">
        <v>500</v>
      </c>
      <c r="J141">
        <v>4</v>
      </c>
      <c r="K141" s="11" t="str">
        <f>VLOOKUP(materials[[#This Row],[Column1.projectId]],projects[],2,FALSE)</f>
        <v>Pedestrian System</v>
      </c>
    </row>
    <row r="142" spans="1:11" x14ac:dyDescent="0.45">
      <c r="A142">
        <v>12</v>
      </c>
      <c r="B142">
        <v>146</v>
      </c>
      <c r="C142" t="s">
        <v>133</v>
      </c>
      <c r="D142">
        <v>1</v>
      </c>
      <c r="E142">
        <v>15.77</v>
      </c>
      <c r="F142">
        <v>1</v>
      </c>
      <c r="G142">
        <v>0</v>
      </c>
      <c r="H142">
        <v>0</v>
      </c>
      <c r="I142">
        <v>0</v>
      </c>
      <c r="J142">
        <v>0</v>
      </c>
      <c r="K142" s="11" t="str">
        <f>VLOOKUP(materials[[#This Row],[Column1.projectId]],projects[],2,FALSE)</f>
        <v>Pedestrian System</v>
      </c>
    </row>
    <row r="143" spans="1:11" x14ac:dyDescent="0.45">
      <c r="A143">
        <v>12</v>
      </c>
      <c r="B143">
        <v>147</v>
      </c>
      <c r="C143" t="s">
        <v>134</v>
      </c>
      <c r="D143">
        <v>1</v>
      </c>
      <c r="E143">
        <v>3.11</v>
      </c>
      <c r="F143">
        <v>0.41</v>
      </c>
      <c r="G143">
        <v>0</v>
      </c>
      <c r="H143">
        <v>0</v>
      </c>
      <c r="I143">
        <v>31.82</v>
      </c>
      <c r="J143">
        <v>0</v>
      </c>
      <c r="K143" s="11" t="str">
        <f>VLOOKUP(materials[[#This Row],[Column1.projectId]],projects[],2,FALSE)</f>
        <v>Pedestrian System</v>
      </c>
    </row>
    <row r="144" spans="1:11" x14ac:dyDescent="0.45">
      <c r="A144">
        <v>12</v>
      </c>
      <c r="B144">
        <v>148</v>
      </c>
      <c r="C144" t="s">
        <v>135</v>
      </c>
      <c r="D144">
        <v>1</v>
      </c>
      <c r="E144">
        <v>3.11</v>
      </c>
      <c r="F144">
        <v>0.41</v>
      </c>
      <c r="G144">
        <v>0</v>
      </c>
      <c r="H144">
        <v>0</v>
      </c>
      <c r="I144">
        <v>31.82</v>
      </c>
      <c r="J144">
        <v>0</v>
      </c>
      <c r="K144" s="11" t="str">
        <f>VLOOKUP(materials[[#This Row],[Column1.projectId]],projects[],2,FALSE)</f>
        <v>Pedestrian System</v>
      </c>
    </row>
    <row r="145" spans="1:11" x14ac:dyDescent="0.45">
      <c r="A145">
        <v>12</v>
      </c>
      <c r="B145">
        <v>149</v>
      </c>
      <c r="C145" t="s">
        <v>76</v>
      </c>
      <c r="D145">
        <v>1</v>
      </c>
      <c r="E145">
        <v>65</v>
      </c>
      <c r="F145">
        <v>55</v>
      </c>
      <c r="G145">
        <v>10.3</v>
      </c>
      <c r="H145">
        <v>0</v>
      </c>
      <c r="I145">
        <v>0</v>
      </c>
      <c r="J145">
        <v>6.4</v>
      </c>
      <c r="K145" s="11" t="str">
        <f>VLOOKUP(materials[[#This Row],[Column1.projectId]],projects[],2,FALSE)</f>
        <v>Pedestrian System</v>
      </c>
    </row>
    <row r="146" spans="1:11" x14ac:dyDescent="0.45">
      <c r="A146">
        <v>12</v>
      </c>
      <c r="B146">
        <v>150</v>
      </c>
      <c r="C146" t="s">
        <v>57</v>
      </c>
      <c r="D146">
        <v>1</v>
      </c>
      <c r="E146">
        <v>3.9375</v>
      </c>
      <c r="F146">
        <v>3</v>
      </c>
      <c r="G146">
        <v>1.8</v>
      </c>
      <c r="H146">
        <v>0</v>
      </c>
      <c r="I146">
        <v>0</v>
      </c>
      <c r="J146">
        <v>15</v>
      </c>
      <c r="K146" s="11" t="str">
        <f>VLOOKUP(materials[[#This Row],[Column1.projectId]],projects[],2,FALSE)</f>
        <v>Pedestrian System</v>
      </c>
    </row>
    <row r="147" spans="1:11" x14ac:dyDescent="0.45">
      <c r="A147">
        <v>13</v>
      </c>
      <c r="B147">
        <v>151</v>
      </c>
      <c r="C147" t="s">
        <v>120</v>
      </c>
      <c r="D147">
        <v>32</v>
      </c>
      <c r="E147">
        <v>154.41999999999999</v>
      </c>
      <c r="F147">
        <v>55</v>
      </c>
      <c r="G147">
        <v>0</v>
      </c>
      <c r="H147">
        <v>0</v>
      </c>
      <c r="I147">
        <v>12</v>
      </c>
      <c r="J147">
        <v>0</v>
      </c>
      <c r="K147" s="11" t="str">
        <f>VLOOKUP(materials[[#This Row],[Column1.projectId]],projects[],2,FALSE)</f>
        <v>Parking Garage</v>
      </c>
    </row>
    <row r="148" spans="1:11" x14ac:dyDescent="0.45">
      <c r="A148">
        <v>13</v>
      </c>
      <c r="B148">
        <v>152</v>
      </c>
      <c r="C148" t="s">
        <v>136</v>
      </c>
      <c r="D148">
        <v>32</v>
      </c>
      <c r="E148">
        <v>154.41999999999999</v>
      </c>
      <c r="F148">
        <v>55</v>
      </c>
      <c r="G148">
        <v>12</v>
      </c>
      <c r="H148">
        <v>0</v>
      </c>
      <c r="I148">
        <v>12</v>
      </c>
      <c r="J148">
        <v>0</v>
      </c>
      <c r="K148" s="11" t="str">
        <f>VLOOKUP(materials[[#This Row],[Column1.projectId]],projects[],2,FALSE)</f>
        <v>Parking Garage</v>
      </c>
    </row>
    <row r="149" spans="1:11" x14ac:dyDescent="0.45">
      <c r="A149">
        <v>13</v>
      </c>
      <c r="B149">
        <v>153</v>
      </c>
      <c r="C149" t="s">
        <v>137</v>
      </c>
      <c r="D149">
        <v>1</v>
      </c>
      <c r="E149">
        <v>0.10249999999999999</v>
      </c>
      <c r="F149">
        <v>1</v>
      </c>
      <c r="G149">
        <v>400</v>
      </c>
      <c r="H149">
        <v>0</v>
      </c>
      <c r="I149">
        <v>400</v>
      </c>
      <c r="J149">
        <v>0</v>
      </c>
      <c r="K149" s="11" t="str">
        <f>VLOOKUP(materials[[#This Row],[Column1.projectId]],projects[],2,FALSE)</f>
        <v>Parking Garage</v>
      </c>
    </row>
    <row r="150" spans="1:11" x14ac:dyDescent="0.45">
      <c r="A150">
        <v>13</v>
      </c>
      <c r="B150">
        <v>154</v>
      </c>
      <c r="C150" t="s">
        <v>138</v>
      </c>
      <c r="D150">
        <v>1</v>
      </c>
      <c r="E150">
        <v>0.29725000000000001</v>
      </c>
      <c r="F150">
        <v>1</v>
      </c>
      <c r="G150">
        <v>100</v>
      </c>
      <c r="H150">
        <v>0</v>
      </c>
      <c r="I150">
        <v>100</v>
      </c>
      <c r="J150">
        <v>0</v>
      </c>
      <c r="K150" s="11" t="str">
        <f>VLOOKUP(materials[[#This Row],[Column1.projectId]],projects[],2,FALSE)</f>
        <v>Parking Garage</v>
      </c>
    </row>
    <row r="151" spans="1:11" x14ac:dyDescent="0.45">
      <c r="A151">
        <v>13</v>
      </c>
      <c r="B151">
        <v>155</v>
      </c>
      <c r="C151" t="s">
        <v>122</v>
      </c>
      <c r="D151">
        <v>700</v>
      </c>
      <c r="E151">
        <v>76.069999999999993</v>
      </c>
      <c r="F151">
        <v>20</v>
      </c>
      <c r="G151">
        <v>180</v>
      </c>
      <c r="H151">
        <v>0</v>
      </c>
      <c r="I151">
        <v>140</v>
      </c>
      <c r="J151">
        <v>0</v>
      </c>
      <c r="K151" s="11" t="str">
        <f>VLOOKUP(materials[[#This Row],[Column1.projectId]],projects[],2,FALSE)</f>
        <v>Parking Garage</v>
      </c>
    </row>
    <row r="152" spans="1:11" x14ac:dyDescent="0.45">
      <c r="A152">
        <v>13</v>
      </c>
      <c r="B152">
        <v>156</v>
      </c>
      <c r="C152" t="s">
        <v>123</v>
      </c>
      <c r="D152">
        <v>1665</v>
      </c>
      <c r="E152">
        <v>65.48</v>
      </c>
      <c r="F152">
        <v>55</v>
      </c>
      <c r="G152">
        <v>300</v>
      </c>
      <c r="H152">
        <v>0</v>
      </c>
      <c r="I152">
        <v>140</v>
      </c>
      <c r="J152">
        <v>0</v>
      </c>
      <c r="K152" s="11" t="str">
        <f>VLOOKUP(materials[[#This Row],[Column1.projectId]],projects[],2,FALSE)</f>
        <v>Parking Garage</v>
      </c>
    </row>
    <row r="153" spans="1:11" x14ac:dyDescent="0.45">
      <c r="A153">
        <v>13</v>
      </c>
      <c r="B153">
        <v>157</v>
      </c>
      <c r="C153" t="s">
        <v>139</v>
      </c>
      <c r="D153">
        <v>250</v>
      </c>
      <c r="E153">
        <v>154.41999999999999</v>
      </c>
      <c r="F153">
        <v>55</v>
      </c>
      <c r="G153">
        <v>180</v>
      </c>
      <c r="H153">
        <v>0</v>
      </c>
      <c r="I153">
        <v>3.6</v>
      </c>
      <c r="J153">
        <v>4</v>
      </c>
      <c r="K153" s="11" t="str">
        <f>VLOOKUP(materials[[#This Row],[Column1.projectId]],projects[],2,FALSE)</f>
        <v>Parking Garage</v>
      </c>
    </row>
    <row r="154" spans="1:11" x14ac:dyDescent="0.45">
      <c r="A154">
        <v>13</v>
      </c>
      <c r="B154">
        <v>158</v>
      </c>
      <c r="C154" t="s">
        <v>140</v>
      </c>
      <c r="D154">
        <v>350</v>
      </c>
      <c r="E154">
        <v>203.17</v>
      </c>
      <c r="F154">
        <v>55</v>
      </c>
      <c r="G154">
        <v>180</v>
      </c>
      <c r="H154">
        <v>0</v>
      </c>
      <c r="I154">
        <v>3.6</v>
      </c>
      <c r="J154">
        <v>4</v>
      </c>
      <c r="K154" s="11" t="str">
        <f>VLOOKUP(materials[[#This Row],[Column1.projectId]],projects[],2,FALSE)</f>
        <v>Parking Garage</v>
      </c>
    </row>
    <row r="155" spans="1:11" x14ac:dyDescent="0.45">
      <c r="A155">
        <v>13</v>
      </c>
      <c r="B155">
        <v>159</v>
      </c>
      <c r="C155" t="s">
        <v>141</v>
      </c>
      <c r="D155">
        <v>350</v>
      </c>
      <c r="E155">
        <v>203.17</v>
      </c>
      <c r="F155">
        <v>55</v>
      </c>
      <c r="G155">
        <v>180</v>
      </c>
      <c r="H155">
        <v>0</v>
      </c>
      <c r="I155">
        <v>3.6</v>
      </c>
      <c r="J155">
        <v>4</v>
      </c>
      <c r="K155" s="11" t="str">
        <f>VLOOKUP(materials[[#This Row],[Column1.projectId]],projects[],2,FALSE)</f>
        <v>Parking Garage</v>
      </c>
    </row>
    <row r="156" spans="1:11" x14ac:dyDescent="0.45">
      <c r="A156">
        <v>13</v>
      </c>
      <c r="B156">
        <v>160</v>
      </c>
      <c r="C156" t="s">
        <v>142</v>
      </c>
      <c r="D156">
        <v>400</v>
      </c>
      <c r="E156">
        <v>282.06</v>
      </c>
      <c r="F156">
        <v>55</v>
      </c>
      <c r="G156">
        <v>250</v>
      </c>
      <c r="H156">
        <v>0</v>
      </c>
      <c r="I156">
        <v>3.6</v>
      </c>
      <c r="J156">
        <v>4</v>
      </c>
      <c r="K156" s="11" t="str">
        <f>VLOOKUP(materials[[#This Row],[Column1.projectId]],projects[],2,FALSE)</f>
        <v>Parking Garage</v>
      </c>
    </row>
    <row r="157" spans="1:11" x14ac:dyDescent="0.45">
      <c r="A157">
        <v>13</v>
      </c>
      <c r="B157">
        <v>161</v>
      </c>
      <c r="C157" t="s">
        <v>143</v>
      </c>
      <c r="D157">
        <v>150</v>
      </c>
      <c r="E157">
        <v>24.92</v>
      </c>
      <c r="F157">
        <v>100</v>
      </c>
      <c r="G157">
        <v>0</v>
      </c>
      <c r="H157">
        <v>0</v>
      </c>
      <c r="I157">
        <v>0</v>
      </c>
      <c r="J157">
        <v>0</v>
      </c>
      <c r="K157" s="11" t="str">
        <f>VLOOKUP(materials[[#This Row],[Column1.projectId]],projects[],2,FALSE)</f>
        <v>Parking Garage</v>
      </c>
    </row>
    <row r="158" spans="1:11" x14ac:dyDescent="0.45">
      <c r="A158">
        <v>13</v>
      </c>
      <c r="B158">
        <v>162</v>
      </c>
      <c r="C158" t="s">
        <v>128</v>
      </c>
      <c r="D158">
        <v>150</v>
      </c>
      <c r="E158">
        <v>7.55</v>
      </c>
      <c r="F158">
        <v>0.5</v>
      </c>
      <c r="G158">
        <v>70</v>
      </c>
      <c r="H158">
        <v>0</v>
      </c>
      <c r="I158">
        <v>70</v>
      </c>
      <c r="J158">
        <v>0</v>
      </c>
      <c r="K158" s="11" t="str">
        <f>VLOOKUP(materials[[#This Row],[Column1.projectId]],projects[],2,FALSE)</f>
        <v>Parking Garage</v>
      </c>
    </row>
    <row r="159" spans="1:11" x14ac:dyDescent="0.45">
      <c r="A159">
        <v>13</v>
      </c>
      <c r="B159">
        <v>163</v>
      </c>
      <c r="C159" t="s">
        <v>129</v>
      </c>
      <c r="D159">
        <v>18</v>
      </c>
      <c r="E159">
        <v>8.7100000000000009</v>
      </c>
      <c r="F159">
        <v>1</v>
      </c>
      <c r="G159">
        <v>0</v>
      </c>
      <c r="H159">
        <v>0</v>
      </c>
      <c r="I159">
        <v>0</v>
      </c>
      <c r="J159">
        <v>0</v>
      </c>
      <c r="K159" s="11" t="str">
        <f>VLOOKUP(materials[[#This Row],[Column1.projectId]],projects[],2,FALSE)</f>
        <v>Parking Garage</v>
      </c>
    </row>
    <row r="160" spans="1:11" x14ac:dyDescent="0.45">
      <c r="A160">
        <v>13</v>
      </c>
      <c r="B160">
        <v>164</v>
      </c>
      <c r="C160" t="s">
        <v>130</v>
      </c>
      <c r="D160">
        <v>150</v>
      </c>
      <c r="E160">
        <v>8.02</v>
      </c>
      <c r="F160">
        <v>0.5</v>
      </c>
      <c r="G160">
        <v>50</v>
      </c>
      <c r="H160">
        <v>0</v>
      </c>
      <c r="I160">
        <v>90</v>
      </c>
      <c r="J160">
        <v>0</v>
      </c>
      <c r="K160" s="11" t="str">
        <f>VLOOKUP(materials[[#This Row],[Column1.projectId]],projects[],2,FALSE)</f>
        <v>Parking Garage</v>
      </c>
    </row>
    <row r="161" spans="1:11" x14ac:dyDescent="0.45">
      <c r="A161">
        <v>13</v>
      </c>
      <c r="B161">
        <v>165</v>
      </c>
      <c r="C161" t="s">
        <v>131</v>
      </c>
      <c r="D161">
        <v>18</v>
      </c>
      <c r="E161">
        <v>8.7100000000000009</v>
      </c>
      <c r="F161">
        <v>1</v>
      </c>
      <c r="G161">
        <v>0</v>
      </c>
      <c r="H161">
        <v>0</v>
      </c>
      <c r="I161">
        <v>0</v>
      </c>
      <c r="J161">
        <v>0</v>
      </c>
      <c r="K161" s="11" t="str">
        <f>VLOOKUP(materials[[#This Row],[Column1.projectId]],projects[],2,FALSE)</f>
        <v>Parking Garage</v>
      </c>
    </row>
    <row r="162" spans="1:11" x14ac:dyDescent="0.45">
      <c r="A162">
        <v>13</v>
      </c>
      <c r="B162">
        <v>166</v>
      </c>
      <c r="C162" t="s">
        <v>144</v>
      </c>
      <c r="D162">
        <v>600</v>
      </c>
      <c r="E162">
        <v>65.88</v>
      </c>
      <c r="F162">
        <v>15</v>
      </c>
      <c r="G162">
        <v>400</v>
      </c>
      <c r="H162">
        <v>0</v>
      </c>
      <c r="I162">
        <v>500</v>
      </c>
      <c r="J162">
        <v>4</v>
      </c>
      <c r="K162" s="11" t="str">
        <f>VLOOKUP(materials[[#This Row],[Column1.projectId]],projects[],2,FALSE)</f>
        <v>Parking Garage</v>
      </c>
    </row>
    <row r="163" spans="1:11" x14ac:dyDescent="0.45">
      <c r="A163">
        <v>13</v>
      </c>
      <c r="B163">
        <v>167</v>
      </c>
      <c r="C163" t="s">
        <v>133</v>
      </c>
      <c r="D163">
        <v>4</v>
      </c>
      <c r="E163">
        <v>15.77</v>
      </c>
      <c r="F163">
        <v>1</v>
      </c>
      <c r="G163">
        <v>0</v>
      </c>
      <c r="H163">
        <v>0</v>
      </c>
      <c r="I163">
        <v>0</v>
      </c>
      <c r="J163">
        <v>0</v>
      </c>
      <c r="K163" s="11" t="str">
        <f>VLOOKUP(materials[[#This Row],[Column1.projectId]],projects[],2,FALSE)</f>
        <v>Parking Garage</v>
      </c>
    </row>
    <row r="164" spans="1:11" x14ac:dyDescent="0.45">
      <c r="A164">
        <v>13</v>
      </c>
      <c r="B164">
        <v>168</v>
      </c>
      <c r="C164" t="s">
        <v>134</v>
      </c>
      <c r="D164">
        <v>1</v>
      </c>
      <c r="E164">
        <v>3.11</v>
      </c>
      <c r="F164">
        <v>0.41</v>
      </c>
      <c r="G164">
        <v>0</v>
      </c>
      <c r="H164">
        <v>0</v>
      </c>
      <c r="I164">
        <v>31.82</v>
      </c>
      <c r="J164">
        <v>0</v>
      </c>
      <c r="K164" s="11" t="str">
        <f>VLOOKUP(materials[[#This Row],[Column1.projectId]],projects[],2,FALSE)</f>
        <v>Parking Garage</v>
      </c>
    </row>
    <row r="165" spans="1:11" x14ac:dyDescent="0.45">
      <c r="A165">
        <v>13</v>
      </c>
      <c r="B165">
        <v>169</v>
      </c>
      <c r="C165" t="s">
        <v>135</v>
      </c>
      <c r="D165">
        <v>1</v>
      </c>
      <c r="E165">
        <v>3.11</v>
      </c>
      <c r="F165">
        <v>0.41</v>
      </c>
      <c r="G165">
        <v>0</v>
      </c>
      <c r="H165">
        <v>0</v>
      </c>
      <c r="I165">
        <v>31.82</v>
      </c>
      <c r="J165">
        <v>0</v>
      </c>
      <c r="K165" s="11" t="str">
        <f>VLOOKUP(materials[[#This Row],[Column1.projectId]],projects[],2,FALSE)</f>
        <v>Parking Garage</v>
      </c>
    </row>
    <row r="166" spans="1:11" x14ac:dyDescent="0.45">
      <c r="A166">
        <v>13</v>
      </c>
      <c r="B166">
        <v>170</v>
      </c>
      <c r="C166" t="s">
        <v>76</v>
      </c>
      <c r="D166">
        <v>1</v>
      </c>
      <c r="E166">
        <v>65</v>
      </c>
      <c r="F166">
        <v>55</v>
      </c>
      <c r="G166">
        <v>10.3</v>
      </c>
      <c r="H166">
        <v>0</v>
      </c>
      <c r="I166">
        <v>0</v>
      </c>
      <c r="J166">
        <v>6.4</v>
      </c>
      <c r="K166" s="11" t="str">
        <f>VLOOKUP(materials[[#This Row],[Column1.projectId]],projects[],2,FALSE)</f>
        <v>Parking Garage</v>
      </c>
    </row>
    <row r="167" spans="1:11" x14ac:dyDescent="0.45">
      <c r="A167">
        <v>13</v>
      </c>
      <c r="B167">
        <v>171</v>
      </c>
      <c r="C167" t="s">
        <v>57</v>
      </c>
      <c r="D167">
        <v>1</v>
      </c>
      <c r="E167">
        <v>3.9375</v>
      </c>
      <c r="F167">
        <v>3</v>
      </c>
      <c r="G167">
        <v>1.8</v>
      </c>
      <c r="H167">
        <v>0</v>
      </c>
      <c r="I167">
        <v>0</v>
      </c>
      <c r="J167">
        <v>15</v>
      </c>
      <c r="K167" s="11" t="str">
        <f>VLOOKUP(materials[[#This Row],[Column1.projectId]],projects[],2,FALSE)</f>
        <v>Parking Garage</v>
      </c>
    </row>
    <row r="168" spans="1:11" x14ac:dyDescent="0.45">
      <c r="A168">
        <v>19</v>
      </c>
      <c r="B168">
        <v>172</v>
      </c>
      <c r="C168" t="s">
        <v>145</v>
      </c>
      <c r="D168">
        <v>0</v>
      </c>
      <c r="E168">
        <v>0</v>
      </c>
      <c r="F168">
        <v>3</v>
      </c>
      <c r="G168">
        <v>800</v>
      </c>
      <c r="H168">
        <v>0</v>
      </c>
      <c r="I168">
        <v>0</v>
      </c>
      <c r="J168">
        <v>2</v>
      </c>
      <c r="K168" s="11" t="str">
        <f>VLOOKUP(materials[[#This Row],[Column1.projectId]],projects[],2,FALSE)</f>
        <v>Resistite</v>
      </c>
    </row>
    <row r="169" spans="1:11" x14ac:dyDescent="0.45">
      <c r="A169">
        <v>19</v>
      </c>
      <c r="B169">
        <v>173</v>
      </c>
      <c r="C169" t="s">
        <v>146</v>
      </c>
      <c r="D169">
        <v>300</v>
      </c>
      <c r="E169">
        <v>51.512999999999998</v>
      </c>
      <c r="F169">
        <v>55</v>
      </c>
      <c r="G169">
        <v>200</v>
      </c>
      <c r="H169">
        <v>0</v>
      </c>
      <c r="I169">
        <v>120</v>
      </c>
      <c r="J169">
        <v>1</v>
      </c>
      <c r="K169" s="11" t="str">
        <f>VLOOKUP(materials[[#This Row],[Column1.projectId]],projects[],2,FALSE)</f>
        <v>Resistite</v>
      </c>
    </row>
    <row r="170" spans="1:11" x14ac:dyDescent="0.45">
      <c r="A170">
        <v>19</v>
      </c>
      <c r="B170">
        <v>174</v>
      </c>
      <c r="C170" t="s">
        <v>147</v>
      </c>
      <c r="D170">
        <v>125</v>
      </c>
      <c r="E170">
        <v>51.512999999999998</v>
      </c>
      <c r="F170">
        <v>55</v>
      </c>
      <c r="G170">
        <v>200</v>
      </c>
      <c r="H170">
        <v>0</v>
      </c>
      <c r="I170">
        <v>80</v>
      </c>
      <c r="J170">
        <v>1</v>
      </c>
      <c r="K170" s="11" t="str">
        <f>VLOOKUP(materials[[#This Row],[Column1.projectId]],projects[],2,FALSE)</f>
        <v>Resistite</v>
      </c>
    </row>
    <row r="171" spans="1:11" x14ac:dyDescent="0.45">
      <c r="A171">
        <v>19</v>
      </c>
      <c r="B171">
        <v>175</v>
      </c>
      <c r="C171" t="s">
        <v>148</v>
      </c>
      <c r="D171">
        <v>0</v>
      </c>
      <c r="E171">
        <v>1.68</v>
      </c>
      <c r="F171">
        <v>0.25</v>
      </c>
      <c r="G171">
        <v>80</v>
      </c>
      <c r="H171">
        <v>0</v>
      </c>
      <c r="I171">
        <v>0</v>
      </c>
      <c r="J171">
        <v>2</v>
      </c>
      <c r="K171" s="11" t="str">
        <f>VLOOKUP(materials[[#This Row],[Column1.projectId]],projects[],2,FALSE)</f>
        <v>Resistite</v>
      </c>
    </row>
    <row r="172" spans="1:11" x14ac:dyDescent="0.45">
      <c r="A172">
        <v>19</v>
      </c>
      <c r="B172">
        <v>176</v>
      </c>
      <c r="C172" t="s">
        <v>149</v>
      </c>
      <c r="D172">
        <v>0</v>
      </c>
      <c r="E172">
        <v>1.68</v>
      </c>
      <c r="F172">
        <v>0.25</v>
      </c>
      <c r="G172">
        <v>20</v>
      </c>
      <c r="H172">
        <v>0</v>
      </c>
      <c r="I172">
        <v>0</v>
      </c>
      <c r="J172">
        <v>1</v>
      </c>
      <c r="K172" s="11" t="str">
        <f>VLOOKUP(materials[[#This Row],[Column1.projectId]],projects[],2,FALSE)</f>
        <v>Resistite</v>
      </c>
    </row>
    <row r="173" spans="1:11" x14ac:dyDescent="0.45">
      <c r="A173">
        <v>19</v>
      </c>
      <c r="B173">
        <v>177</v>
      </c>
      <c r="C173" t="s">
        <v>150</v>
      </c>
      <c r="D173">
        <v>1</v>
      </c>
      <c r="E173">
        <v>39.375</v>
      </c>
      <c r="F173">
        <v>1</v>
      </c>
      <c r="G173">
        <v>15</v>
      </c>
      <c r="H173">
        <v>0</v>
      </c>
      <c r="I173">
        <v>120</v>
      </c>
      <c r="J173">
        <v>2</v>
      </c>
      <c r="K173" s="11" t="str">
        <f>VLOOKUP(materials[[#This Row],[Column1.projectId]],projects[],2,FALSE)</f>
        <v>Resistite</v>
      </c>
    </row>
    <row r="174" spans="1:11" x14ac:dyDescent="0.45">
      <c r="A174">
        <v>19</v>
      </c>
      <c r="B174">
        <v>178</v>
      </c>
      <c r="C174" t="s">
        <v>151</v>
      </c>
      <c r="D174">
        <v>1</v>
      </c>
      <c r="E174">
        <v>39.375</v>
      </c>
      <c r="F174">
        <v>1</v>
      </c>
      <c r="G174">
        <v>40</v>
      </c>
      <c r="H174">
        <v>0</v>
      </c>
      <c r="I174">
        <v>120</v>
      </c>
      <c r="J174">
        <v>0.75</v>
      </c>
      <c r="K174" s="11" t="str">
        <f>VLOOKUP(materials[[#This Row],[Column1.projectId]],projects[],2,FALSE)</f>
        <v>Resistite</v>
      </c>
    </row>
    <row r="175" spans="1:11" x14ac:dyDescent="0.45">
      <c r="A175">
        <v>19</v>
      </c>
      <c r="B175">
        <v>179</v>
      </c>
      <c r="C175" t="s">
        <v>152</v>
      </c>
      <c r="D175">
        <v>0</v>
      </c>
      <c r="E175">
        <v>0</v>
      </c>
      <c r="F175">
        <v>0</v>
      </c>
      <c r="G175">
        <v>15</v>
      </c>
      <c r="H175">
        <v>0</v>
      </c>
      <c r="I175">
        <v>0</v>
      </c>
      <c r="J175">
        <v>2</v>
      </c>
      <c r="K175" s="11" t="str">
        <f>VLOOKUP(materials[[#This Row],[Column1.projectId]],projects[],2,FALSE)</f>
        <v>Resistite</v>
      </c>
    </row>
    <row r="176" spans="1:11" x14ac:dyDescent="0.45">
      <c r="A176">
        <v>19</v>
      </c>
      <c r="B176">
        <v>180</v>
      </c>
      <c r="C176" t="s">
        <v>153</v>
      </c>
      <c r="D176">
        <v>5000</v>
      </c>
      <c r="E176">
        <v>113.1165</v>
      </c>
      <c r="F176">
        <v>55</v>
      </c>
      <c r="G176">
        <v>400</v>
      </c>
      <c r="H176">
        <v>0</v>
      </c>
      <c r="I176">
        <v>250</v>
      </c>
      <c r="J176">
        <v>0</v>
      </c>
      <c r="K176" s="11" t="str">
        <f>VLOOKUP(materials[[#This Row],[Column1.projectId]],projects[],2,FALSE)</f>
        <v>Resistite</v>
      </c>
    </row>
    <row r="177" spans="1:11" x14ac:dyDescent="0.45">
      <c r="A177">
        <v>19</v>
      </c>
      <c r="B177">
        <v>181</v>
      </c>
      <c r="C177" t="s">
        <v>154</v>
      </c>
      <c r="D177">
        <v>150</v>
      </c>
      <c r="E177">
        <v>57.161999999999999</v>
      </c>
      <c r="F177">
        <v>55</v>
      </c>
      <c r="G177">
        <v>160</v>
      </c>
      <c r="H177">
        <v>0</v>
      </c>
      <c r="I177">
        <v>40</v>
      </c>
      <c r="J177">
        <v>1</v>
      </c>
      <c r="K177" s="11" t="str">
        <f>VLOOKUP(materials[[#This Row],[Column1.projectId]],projects[],2,FALSE)</f>
        <v>Resistite</v>
      </c>
    </row>
    <row r="178" spans="1:11" x14ac:dyDescent="0.45">
      <c r="A178">
        <v>19</v>
      </c>
      <c r="B178">
        <v>182</v>
      </c>
      <c r="C178" t="s">
        <v>155</v>
      </c>
      <c r="D178">
        <v>800</v>
      </c>
      <c r="E178">
        <v>207.04949999999999</v>
      </c>
      <c r="F178">
        <v>55</v>
      </c>
      <c r="G178">
        <v>200</v>
      </c>
      <c r="H178">
        <v>0</v>
      </c>
      <c r="I178">
        <v>40</v>
      </c>
      <c r="J178">
        <v>1</v>
      </c>
      <c r="K178" s="11" t="str">
        <f>VLOOKUP(materials[[#This Row],[Column1.projectId]],projects[],2,FALSE)</f>
        <v>Resistite</v>
      </c>
    </row>
    <row r="179" spans="1:11" x14ac:dyDescent="0.45">
      <c r="A179">
        <v>19</v>
      </c>
      <c r="B179">
        <v>183</v>
      </c>
      <c r="C179" t="s">
        <v>156</v>
      </c>
      <c r="D179">
        <v>1</v>
      </c>
      <c r="E179">
        <v>0.23100000000000001</v>
      </c>
      <c r="F179">
        <v>0</v>
      </c>
      <c r="G179">
        <v>50</v>
      </c>
      <c r="H179">
        <v>0</v>
      </c>
      <c r="I179">
        <v>0</v>
      </c>
      <c r="J179">
        <v>2</v>
      </c>
      <c r="K179" s="11" t="str">
        <f>VLOOKUP(materials[[#This Row],[Column1.projectId]],projects[],2,FALSE)</f>
        <v>Resistite</v>
      </c>
    </row>
    <row r="180" spans="1:11" x14ac:dyDescent="0.45">
      <c r="A180">
        <v>19</v>
      </c>
      <c r="B180">
        <v>184</v>
      </c>
      <c r="C180" t="s">
        <v>157</v>
      </c>
      <c r="D180">
        <v>100</v>
      </c>
      <c r="E180">
        <v>0.23100000000000001</v>
      </c>
      <c r="F180">
        <v>0</v>
      </c>
      <c r="G180">
        <v>30</v>
      </c>
      <c r="H180">
        <v>0</v>
      </c>
      <c r="I180">
        <v>0</v>
      </c>
      <c r="J180">
        <v>0</v>
      </c>
      <c r="K180" s="11" t="str">
        <f>VLOOKUP(materials[[#This Row],[Column1.projectId]],projects[],2,FALSE)</f>
        <v>Resistite</v>
      </c>
    </row>
    <row r="181" spans="1:11" x14ac:dyDescent="0.45">
      <c r="A181">
        <v>19</v>
      </c>
      <c r="B181">
        <v>185</v>
      </c>
      <c r="C181" t="s">
        <v>158</v>
      </c>
      <c r="D181">
        <v>100</v>
      </c>
      <c r="E181">
        <v>2.9925000000000002</v>
      </c>
      <c r="F181">
        <v>44</v>
      </c>
      <c r="G181">
        <v>7</v>
      </c>
      <c r="H181">
        <v>0</v>
      </c>
      <c r="I181">
        <v>0</v>
      </c>
      <c r="J181">
        <v>8</v>
      </c>
      <c r="K181" s="11" t="str">
        <f>VLOOKUP(materials[[#This Row],[Column1.projectId]],projects[],2,FALSE)</f>
        <v>Resistite</v>
      </c>
    </row>
    <row r="182" spans="1:11" x14ac:dyDescent="0.45">
      <c r="A182">
        <v>19</v>
      </c>
      <c r="B182">
        <v>186</v>
      </c>
      <c r="C182" t="s">
        <v>159</v>
      </c>
      <c r="D182">
        <v>300</v>
      </c>
      <c r="E182">
        <v>47.25</v>
      </c>
      <c r="F182">
        <v>0</v>
      </c>
      <c r="G182">
        <v>150</v>
      </c>
      <c r="H182">
        <v>0</v>
      </c>
      <c r="I182">
        <v>0</v>
      </c>
      <c r="J182">
        <v>0.75</v>
      </c>
      <c r="K182" s="11" t="str">
        <f>VLOOKUP(materials[[#This Row],[Column1.projectId]],projects[],2,FALSE)</f>
        <v>Resistite</v>
      </c>
    </row>
    <row r="183" spans="1:11" x14ac:dyDescent="0.45">
      <c r="A183">
        <v>19</v>
      </c>
      <c r="B183">
        <v>187</v>
      </c>
      <c r="C183" t="s">
        <v>160</v>
      </c>
      <c r="D183">
        <v>150</v>
      </c>
      <c r="E183">
        <v>126.78749999999999</v>
      </c>
      <c r="F183">
        <v>0</v>
      </c>
      <c r="G183">
        <v>0</v>
      </c>
      <c r="H183">
        <v>0</v>
      </c>
      <c r="I183">
        <v>0</v>
      </c>
      <c r="J183">
        <v>0.75</v>
      </c>
      <c r="K183" s="11" t="str">
        <f>VLOOKUP(materials[[#This Row],[Column1.projectId]],projects[],2,FALSE)</f>
        <v>Resistite</v>
      </c>
    </row>
    <row r="184" spans="1:11" x14ac:dyDescent="0.45">
      <c r="A184">
        <v>17</v>
      </c>
      <c r="B184">
        <v>188</v>
      </c>
      <c r="C184" t="s">
        <v>161</v>
      </c>
      <c r="D184">
        <v>0</v>
      </c>
      <c r="E184">
        <v>0</v>
      </c>
      <c r="F184">
        <v>0</v>
      </c>
      <c r="G184">
        <v>300</v>
      </c>
      <c r="H184">
        <v>0</v>
      </c>
      <c r="I184">
        <v>100</v>
      </c>
      <c r="J184">
        <v>0.75</v>
      </c>
      <c r="K184" s="11" t="str">
        <f>VLOOKUP(materials[[#This Row],[Column1.projectId]],projects[],2,FALSE)</f>
        <v>MACoat</v>
      </c>
    </row>
    <row r="185" spans="1:11" x14ac:dyDescent="0.45">
      <c r="A185">
        <v>17</v>
      </c>
      <c r="B185">
        <v>189</v>
      </c>
      <c r="C185" t="s">
        <v>162</v>
      </c>
      <c r="D185">
        <v>450</v>
      </c>
      <c r="E185">
        <v>146.36000000000001</v>
      </c>
      <c r="F185">
        <v>15</v>
      </c>
      <c r="G185">
        <v>250</v>
      </c>
      <c r="H185">
        <v>0</v>
      </c>
      <c r="I185">
        <v>100</v>
      </c>
      <c r="J185">
        <v>0.75</v>
      </c>
      <c r="K185" s="11" t="str">
        <f>VLOOKUP(materials[[#This Row],[Column1.projectId]],projects[],2,FALSE)</f>
        <v>MACoat</v>
      </c>
    </row>
    <row r="186" spans="1:11" x14ac:dyDescent="0.45">
      <c r="A186">
        <v>17</v>
      </c>
      <c r="B186">
        <v>190</v>
      </c>
      <c r="C186" t="s">
        <v>163</v>
      </c>
      <c r="D186">
        <v>2000</v>
      </c>
      <c r="E186">
        <v>11.7</v>
      </c>
      <c r="F186">
        <v>100</v>
      </c>
      <c r="G186">
        <v>0</v>
      </c>
      <c r="H186">
        <v>0</v>
      </c>
      <c r="I186">
        <v>0</v>
      </c>
      <c r="J186">
        <v>0</v>
      </c>
      <c r="K186" s="11" t="str">
        <f>VLOOKUP(materials[[#This Row],[Column1.projectId]],projects[],2,FALSE)</f>
        <v>MACoat</v>
      </c>
    </row>
    <row r="187" spans="1:11" x14ac:dyDescent="0.45">
      <c r="A187">
        <v>17</v>
      </c>
      <c r="B187">
        <v>191</v>
      </c>
      <c r="C187" t="s">
        <v>164</v>
      </c>
      <c r="D187">
        <v>150</v>
      </c>
      <c r="E187">
        <v>16.14</v>
      </c>
      <c r="F187">
        <v>50</v>
      </c>
      <c r="G187">
        <v>160</v>
      </c>
      <c r="H187">
        <v>0</v>
      </c>
      <c r="I187">
        <v>90</v>
      </c>
      <c r="J187">
        <v>0.75</v>
      </c>
      <c r="K187" s="11" t="str">
        <f>VLOOKUP(materials[[#This Row],[Column1.projectId]],projects[],2,FALSE)</f>
        <v>MACoat</v>
      </c>
    </row>
    <row r="188" spans="1:11" x14ac:dyDescent="0.45">
      <c r="A188">
        <v>17</v>
      </c>
      <c r="B188">
        <v>192</v>
      </c>
      <c r="C188" t="s">
        <v>165</v>
      </c>
      <c r="D188">
        <v>427.5</v>
      </c>
      <c r="E188">
        <v>203.74</v>
      </c>
      <c r="F188">
        <v>40</v>
      </c>
      <c r="G188">
        <v>0</v>
      </c>
      <c r="H188">
        <v>0</v>
      </c>
      <c r="I188">
        <v>0</v>
      </c>
      <c r="J188">
        <v>0</v>
      </c>
      <c r="K188" s="11" t="str">
        <f>VLOOKUP(materials[[#This Row],[Column1.projectId]],projects[],2,FALSE)</f>
        <v>MACoat</v>
      </c>
    </row>
    <row r="189" spans="1:11" x14ac:dyDescent="0.45">
      <c r="A189">
        <v>17</v>
      </c>
      <c r="B189">
        <v>193</v>
      </c>
      <c r="C189" t="s">
        <v>166</v>
      </c>
      <c r="D189">
        <v>250</v>
      </c>
      <c r="E189">
        <v>16.14</v>
      </c>
      <c r="F189">
        <v>50</v>
      </c>
      <c r="G189">
        <v>160</v>
      </c>
      <c r="H189">
        <v>0</v>
      </c>
      <c r="I189">
        <v>90</v>
      </c>
      <c r="J189">
        <v>0.75</v>
      </c>
      <c r="K189" s="11" t="str">
        <f>VLOOKUP(materials[[#This Row],[Column1.projectId]],projects[],2,FALSE)</f>
        <v>MACoat</v>
      </c>
    </row>
    <row r="190" spans="1:11" x14ac:dyDescent="0.45">
      <c r="A190">
        <v>17</v>
      </c>
      <c r="B190">
        <v>194</v>
      </c>
      <c r="C190" t="s">
        <v>167</v>
      </c>
      <c r="D190">
        <v>250</v>
      </c>
      <c r="E190">
        <v>16.14</v>
      </c>
      <c r="F190">
        <v>50</v>
      </c>
      <c r="G190">
        <v>160</v>
      </c>
      <c r="H190">
        <v>0</v>
      </c>
      <c r="I190">
        <v>90</v>
      </c>
      <c r="J190">
        <v>0.75</v>
      </c>
      <c r="K190" s="11" t="str">
        <f>VLOOKUP(materials[[#This Row],[Column1.projectId]],projects[],2,FALSE)</f>
        <v>MACoat</v>
      </c>
    </row>
    <row r="191" spans="1:11" x14ac:dyDescent="0.45">
      <c r="A191">
        <v>17</v>
      </c>
      <c r="B191">
        <v>195</v>
      </c>
      <c r="C191" t="s">
        <v>168</v>
      </c>
      <c r="D191">
        <v>175</v>
      </c>
      <c r="E191">
        <v>20.59</v>
      </c>
      <c r="F191">
        <v>50</v>
      </c>
      <c r="G191">
        <v>180</v>
      </c>
      <c r="H191">
        <v>0</v>
      </c>
      <c r="I191">
        <v>50</v>
      </c>
      <c r="J191">
        <v>0.75</v>
      </c>
      <c r="K191" s="11" t="str">
        <f>VLOOKUP(materials[[#This Row],[Column1.projectId]],projects[],2,FALSE)</f>
        <v>MACoat</v>
      </c>
    </row>
    <row r="192" spans="1:11" x14ac:dyDescent="0.45">
      <c r="A192">
        <v>17</v>
      </c>
      <c r="B192">
        <v>196</v>
      </c>
      <c r="C192" t="s">
        <v>169</v>
      </c>
      <c r="D192">
        <v>180</v>
      </c>
      <c r="E192">
        <v>4.47</v>
      </c>
      <c r="F192">
        <v>1</v>
      </c>
      <c r="G192">
        <v>250</v>
      </c>
      <c r="H192">
        <v>0</v>
      </c>
      <c r="I192">
        <v>0</v>
      </c>
      <c r="J192">
        <v>0.75</v>
      </c>
      <c r="K192" s="11" t="str">
        <f>VLOOKUP(materials[[#This Row],[Column1.projectId]],projects[],2,FALSE)</f>
        <v>MACoat</v>
      </c>
    </row>
    <row r="193" spans="1:11" x14ac:dyDescent="0.45">
      <c r="A193">
        <v>17</v>
      </c>
      <c r="B193">
        <v>197</v>
      </c>
      <c r="C193" t="s">
        <v>170</v>
      </c>
      <c r="D193">
        <v>175</v>
      </c>
      <c r="E193">
        <v>16.14</v>
      </c>
      <c r="F193">
        <v>50</v>
      </c>
      <c r="G193">
        <v>120</v>
      </c>
      <c r="H193">
        <v>0</v>
      </c>
      <c r="I193">
        <v>30</v>
      </c>
      <c r="J193">
        <v>0.75</v>
      </c>
      <c r="K193" s="11" t="str">
        <f>VLOOKUP(materials[[#This Row],[Column1.projectId]],projects[],2,FALSE)</f>
        <v>MACoat</v>
      </c>
    </row>
    <row r="194" spans="1:11" x14ac:dyDescent="0.45">
      <c r="A194">
        <v>17</v>
      </c>
      <c r="B194">
        <v>198</v>
      </c>
      <c r="C194" t="s">
        <v>171</v>
      </c>
      <c r="D194">
        <v>175</v>
      </c>
      <c r="E194">
        <v>19.38</v>
      </c>
      <c r="F194">
        <v>50</v>
      </c>
      <c r="G194">
        <v>120</v>
      </c>
      <c r="H194">
        <v>0</v>
      </c>
      <c r="I194">
        <v>30</v>
      </c>
      <c r="J194">
        <v>0.75</v>
      </c>
      <c r="K194" s="11" t="str">
        <f>VLOOKUP(materials[[#This Row],[Column1.projectId]],projects[],2,FALSE)</f>
        <v>MACoat</v>
      </c>
    </row>
    <row r="195" spans="1:11" x14ac:dyDescent="0.45">
      <c r="A195">
        <v>17</v>
      </c>
      <c r="B195">
        <v>199</v>
      </c>
      <c r="C195" t="s">
        <v>172</v>
      </c>
      <c r="D195">
        <v>175</v>
      </c>
      <c r="E195">
        <v>21.8</v>
      </c>
      <c r="F195">
        <v>50</v>
      </c>
      <c r="G195">
        <v>120</v>
      </c>
      <c r="H195">
        <v>0</v>
      </c>
      <c r="I195">
        <v>30</v>
      </c>
      <c r="J195">
        <v>0.75</v>
      </c>
      <c r="K195" s="11" t="str">
        <f>VLOOKUP(materials[[#This Row],[Column1.projectId]],projects[],2,FALSE)</f>
        <v>MACoat</v>
      </c>
    </row>
    <row r="196" spans="1:11" x14ac:dyDescent="0.45">
      <c r="A196">
        <v>17</v>
      </c>
      <c r="B196">
        <v>200</v>
      </c>
      <c r="C196" t="s">
        <v>173</v>
      </c>
      <c r="D196">
        <v>250</v>
      </c>
      <c r="E196">
        <v>70</v>
      </c>
      <c r="F196">
        <v>8</v>
      </c>
      <c r="G196">
        <v>500</v>
      </c>
      <c r="H196">
        <v>0</v>
      </c>
      <c r="I196">
        <v>200</v>
      </c>
      <c r="J196">
        <v>0.75</v>
      </c>
      <c r="K196" s="11" t="str">
        <f>VLOOKUP(materials[[#This Row],[Column1.projectId]],projects[],2,FALSE)</f>
        <v>MACoat</v>
      </c>
    </row>
    <row r="197" spans="1:11" x14ac:dyDescent="0.45">
      <c r="A197">
        <v>17</v>
      </c>
      <c r="B197">
        <v>201</v>
      </c>
      <c r="C197" t="s">
        <v>174</v>
      </c>
      <c r="D197">
        <v>0</v>
      </c>
      <c r="E197">
        <v>15.04</v>
      </c>
      <c r="F197">
        <v>1</v>
      </c>
      <c r="G197">
        <v>0</v>
      </c>
      <c r="H197">
        <v>0</v>
      </c>
      <c r="I197">
        <v>0</v>
      </c>
      <c r="J197">
        <v>0</v>
      </c>
      <c r="K197" s="11" t="str">
        <f>VLOOKUP(materials[[#This Row],[Column1.projectId]],projects[],2,FALSE)</f>
        <v>MACoat</v>
      </c>
    </row>
    <row r="198" spans="1:11" x14ac:dyDescent="0.45">
      <c r="A198">
        <v>17</v>
      </c>
      <c r="B198">
        <v>202</v>
      </c>
      <c r="C198" t="s">
        <v>175</v>
      </c>
      <c r="D198">
        <v>1250</v>
      </c>
      <c r="E198">
        <v>381.27</v>
      </c>
      <c r="F198">
        <v>55</v>
      </c>
      <c r="G198">
        <v>400</v>
      </c>
      <c r="H198">
        <v>0</v>
      </c>
      <c r="I198">
        <v>200</v>
      </c>
      <c r="J198">
        <v>0.75</v>
      </c>
      <c r="K198" s="11" t="str">
        <f>VLOOKUP(materials[[#This Row],[Column1.projectId]],projects[],2,FALSE)</f>
        <v>MACoat</v>
      </c>
    </row>
    <row r="199" spans="1:11" x14ac:dyDescent="0.45">
      <c r="A199">
        <v>17</v>
      </c>
      <c r="B199">
        <v>203</v>
      </c>
      <c r="C199" t="s">
        <v>176</v>
      </c>
      <c r="D199">
        <v>800</v>
      </c>
      <c r="E199">
        <v>257.44</v>
      </c>
      <c r="F199">
        <v>55</v>
      </c>
      <c r="G199">
        <v>150</v>
      </c>
      <c r="H199">
        <v>0</v>
      </c>
      <c r="I199">
        <v>62</v>
      </c>
      <c r="J199">
        <v>0.75</v>
      </c>
      <c r="K199" s="11" t="str">
        <f>VLOOKUP(materials[[#This Row],[Column1.projectId]],projects[],2,FALSE)</f>
        <v>MACoat</v>
      </c>
    </row>
    <row r="200" spans="1:11" x14ac:dyDescent="0.45">
      <c r="A200">
        <v>17</v>
      </c>
      <c r="B200">
        <v>204</v>
      </c>
      <c r="C200" t="s">
        <v>177</v>
      </c>
      <c r="D200">
        <v>0</v>
      </c>
      <c r="E200">
        <v>192.2</v>
      </c>
      <c r="F200">
        <v>55</v>
      </c>
      <c r="G200">
        <v>0</v>
      </c>
      <c r="H200">
        <v>0</v>
      </c>
      <c r="I200">
        <v>0</v>
      </c>
      <c r="J200">
        <v>0</v>
      </c>
      <c r="K200" s="11" t="str">
        <f>VLOOKUP(materials[[#This Row],[Column1.projectId]],projects[],2,FALSE)</f>
        <v>MACoat</v>
      </c>
    </row>
    <row r="201" spans="1:11" x14ac:dyDescent="0.45">
      <c r="A201">
        <v>17</v>
      </c>
      <c r="B201">
        <v>205</v>
      </c>
      <c r="C201" t="s">
        <v>178</v>
      </c>
      <c r="D201">
        <v>0</v>
      </c>
      <c r="E201">
        <v>241.95</v>
      </c>
      <c r="F201">
        <v>55</v>
      </c>
      <c r="G201">
        <v>0</v>
      </c>
      <c r="H201">
        <v>0</v>
      </c>
      <c r="I201">
        <v>0</v>
      </c>
      <c r="J201">
        <v>0</v>
      </c>
      <c r="K201" s="11" t="str">
        <f>VLOOKUP(materials[[#This Row],[Column1.projectId]],projects[],2,FALSE)</f>
        <v>MACoat</v>
      </c>
    </row>
    <row r="202" spans="1:11" x14ac:dyDescent="0.45">
      <c r="A202">
        <v>17</v>
      </c>
      <c r="B202">
        <v>206</v>
      </c>
      <c r="C202" t="s">
        <v>89</v>
      </c>
      <c r="D202">
        <v>1</v>
      </c>
      <c r="E202">
        <v>3.11</v>
      </c>
      <c r="F202">
        <v>0.41</v>
      </c>
      <c r="G202">
        <v>0</v>
      </c>
      <c r="H202">
        <v>0</v>
      </c>
      <c r="I202">
        <v>31.82</v>
      </c>
      <c r="J202">
        <v>1</v>
      </c>
      <c r="K202" s="11" t="str">
        <f>VLOOKUP(materials[[#This Row],[Column1.projectId]],projects[],2,FALSE)</f>
        <v>MACoat</v>
      </c>
    </row>
    <row r="203" spans="1:11" x14ac:dyDescent="0.45">
      <c r="A203">
        <v>17</v>
      </c>
      <c r="B203">
        <v>207</v>
      </c>
      <c r="C203" t="s">
        <v>55</v>
      </c>
      <c r="D203">
        <v>1</v>
      </c>
      <c r="E203">
        <v>3.11</v>
      </c>
      <c r="F203">
        <v>0.41</v>
      </c>
      <c r="G203">
        <v>0</v>
      </c>
      <c r="H203">
        <v>0</v>
      </c>
      <c r="I203">
        <v>31.82</v>
      </c>
      <c r="J203">
        <v>1</v>
      </c>
      <c r="K203" s="11" t="str">
        <f>VLOOKUP(materials[[#This Row],[Column1.projectId]],projects[],2,FALSE)</f>
        <v>MACoat</v>
      </c>
    </row>
    <row r="204" spans="1:11" x14ac:dyDescent="0.45">
      <c r="A204">
        <v>17</v>
      </c>
      <c r="B204">
        <v>208</v>
      </c>
      <c r="C204" t="s">
        <v>76</v>
      </c>
      <c r="D204">
        <v>1</v>
      </c>
      <c r="E204">
        <v>65</v>
      </c>
      <c r="F204">
        <v>55</v>
      </c>
      <c r="G204">
        <v>10.3</v>
      </c>
      <c r="H204">
        <v>0</v>
      </c>
      <c r="I204">
        <v>0</v>
      </c>
      <c r="J204">
        <v>6.4</v>
      </c>
      <c r="K204" s="11" t="str">
        <f>VLOOKUP(materials[[#This Row],[Column1.projectId]],projects[],2,FALSE)</f>
        <v>MACoat</v>
      </c>
    </row>
    <row r="205" spans="1:11" x14ac:dyDescent="0.45">
      <c r="A205">
        <v>17</v>
      </c>
      <c r="B205">
        <v>209</v>
      </c>
      <c r="C205" t="s">
        <v>57</v>
      </c>
      <c r="D205">
        <v>1</v>
      </c>
      <c r="E205">
        <v>3.9375</v>
      </c>
      <c r="F205">
        <v>3</v>
      </c>
      <c r="G205">
        <v>1.8</v>
      </c>
      <c r="H205">
        <v>0</v>
      </c>
      <c r="I205">
        <v>0</v>
      </c>
      <c r="J205">
        <v>15</v>
      </c>
      <c r="K205" s="11" t="str">
        <f>VLOOKUP(materials[[#This Row],[Column1.projectId]],projects[],2,FALSE)</f>
        <v>MACoat</v>
      </c>
    </row>
    <row r="206" spans="1:11" x14ac:dyDescent="0.45">
      <c r="A206">
        <v>16</v>
      </c>
      <c r="B206">
        <v>210</v>
      </c>
      <c r="C206" t="s">
        <v>179</v>
      </c>
      <c r="D206">
        <v>0</v>
      </c>
      <c r="E206">
        <v>0</v>
      </c>
      <c r="F206">
        <v>0</v>
      </c>
      <c r="G206">
        <v>300</v>
      </c>
      <c r="H206">
        <v>0</v>
      </c>
      <c r="I206">
        <v>100</v>
      </c>
      <c r="J206">
        <v>0.75</v>
      </c>
      <c r="K206" s="11" t="str">
        <f>VLOOKUP(materials[[#This Row],[Column1.projectId]],projects[],2,FALSE)</f>
        <v>ALX</v>
      </c>
    </row>
    <row r="207" spans="1:11" x14ac:dyDescent="0.45">
      <c r="A207">
        <v>16</v>
      </c>
      <c r="B207">
        <v>211</v>
      </c>
      <c r="C207" t="s">
        <v>180</v>
      </c>
      <c r="D207">
        <v>75</v>
      </c>
      <c r="E207">
        <v>48</v>
      </c>
      <c r="F207">
        <v>10</v>
      </c>
      <c r="G207">
        <v>50</v>
      </c>
      <c r="H207">
        <v>0</v>
      </c>
      <c r="I207">
        <v>90</v>
      </c>
      <c r="J207">
        <v>0.75</v>
      </c>
      <c r="K207" s="11" t="str">
        <f>VLOOKUP(materials[[#This Row],[Column1.projectId]],projects[],2,FALSE)</f>
        <v>ALX</v>
      </c>
    </row>
    <row r="208" spans="1:11" x14ac:dyDescent="0.45">
      <c r="A208">
        <v>16</v>
      </c>
      <c r="B208">
        <v>212</v>
      </c>
      <c r="C208" t="s">
        <v>181</v>
      </c>
      <c r="D208">
        <v>200</v>
      </c>
      <c r="E208">
        <v>265.01</v>
      </c>
      <c r="F208">
        <v>30</v>
      </c>
      <c r="G208">
        <v>180</v>
      </c>
      <c r="H208">
        <v>0</v>
      </c>
      <c r="I208">
        <v>90</v>
      </c>
      <c r="J208">
        <v>0.75</v>
      </c>
      <c r="K208" s="11" t="str">
        <f>VLOOKUP(materials[[#This Row],[Column1.projectId]],projects[],2,FALSE)</f>
        <v>ALX</v>
      </c>
    </row>
    <row r="209" spans="1:11" x14ac:dyDescent="0.45">
      <c r="A209">
        <v>16</v>
      </c>
      <c r="B209">
        <v>213</v>
      </c>
      <c r="C209" t="s">
        <v>182</v>
      </c>
      <c r="D209">
        <v>18</v>
      </c>
      <c r="E209">
        <v>8.96875</v>
      </c>
      <c r="F209">
        <v>3</v>
      </c>
      <c r="G209">
        <v>120</v>
      </c>
      <c r="H209">
        <v>0</v>
      </c>
      <c r="I209">
        <v>50</v>
      </c>
      <c r="J209">
        <v>0.75</v>
      </c>
      <c r="K209" s="11" t="str">
        <f>VLOOKUP(materials[[#This Row],[Column1.projectId]],projects[],2,FALSE)</f>
        <v>ALX</v>
      </c>
    </row>
    <row r="210" spans="1:11" x14ac:dyDescent="0.45">
      <c r="A210">
        <v>16</v>
      </c>
      <c r="B210">
        <v>214</v>
      </c>
      <c r="C210" t="s">
        <v>183</v>
      </c>
      <c r="D210">
        <v>600</v>
      </c>
      <c r="E210">
        <v>66.625</v>
      </c>
      <c r="F210">
        <v>2</v>
      </c>
      <c r="G210">
        <v>0</v>
      </c>
      <c r="H210">
        <v>0</v>
      </c>
      <c r="I210">
        <v>0</v>
      </c>
      <c r="J210">
        <v>0.75</v>
      </c>
      <c r="K210" s="11" t="str">
        <f>VLOOKUP(materials[[#This Row],[Column1.projectId]],projects[],2,FALSE)</f>
        <v>ALX</v>
      </c>
    </row>
    <row r="211" spans="1:11" x14ac:dyDescent="0.45">
      <c r="A211">
        <v>16</v>
      </c>
      <c r="B211">
        <v>215</v>
      </c>
      <c r="C211" t="s">
        <v>184</v>
      </c>
      <c r="D211">
        <v>40</v>
      </c>
      <c r="E211">
        <v>16.14</v>
      </c>
      <c r="F211">
        <v>50</v>
      </c>
      <c r="G211">
        <v>180</v>
      </c>
      <c r="H211">
        <v>0</v>
      </c>
      <c r="I211">
        <v>90</v>
      </c>
      <c r="J211">
        <v>0.75</v>
      </c>
      <c r="K211" s="11" t="str">
        <f>VLOOKUP(materials[[#This Row],[Column1.projectId]],projects[],2,FALSE)</f>
        <v>ALX</v>
      </c>
    </row>
    <row r="212" spans="1:11" x14ac:dyDescent="0.45">
      <c r="A212">
        <v>16</v>
      </c>
      <c r="B212">
        <v>216</v>
      </c>
      <c r="C212" t="s">
        <v>185</v>
      </c>
      <c r="D212">
        <v>125</v>
      </c>
      <c r="E212">
        <v>16.14</v>
      </c>
      <c r="F212">
        <v>50</v>
      </c>
      <c r="G212">
        <v>160</v>
      </c>
      <c r="H212">
        <v>0</v>
      </c>
      <c r="I212">
        <v>90</v>
      </c>
      <c r="J212">
        <v>0.75</v>
      </c>
      <c r="K212" s="11" t="str">
        <f>VLOOKUP(materials[[#This Row],[Column1.projectId]],projects[],2,FALSE)</f>
        <v>ALX</v>
      </c>
    </row>
    <row r="213" spans="1:11" x14ac:dyDescent="0.45">
      <c r="A213">
        <v>16</v>
      </c>
      <c r="B213">
        <v>217</v>
      </c>
      <c r="C213" t="s">
        <v>186</v>
      </c>
      <c r="D213">
        <v>175</v>
      </c>
      <c r="E213">
        <v>19.38</v>
      </c>
      <c r="F213">
        <v>50</v>
      </c>
      <c r="G213">
        <v>120</v>
      </c>
      <c r="H213">
        <v>0</v>
      </c>
      <c r="I213">
        <v>30</v>
      </c>
      <c r="J213">
        <v>0.75</v>
      </c>
      <c r="K213" s="11" t="str">
        <f>VLOOKUP(materials[[#This Row],[Column1.projectId]],projects[],2,FALSE)</f>
        <v>ALX</v>
      </c>
    </row>
    <row r="214" spans="1:11" x14ac:dyDescent="0.45">
      <c r="A214">
        <v>16</v>
      </c>
      <c r="B214">
        <v>218</v>
      </c>
      <c r="C214" t="s">
        <v>187</v>
      </c>
      <c r="D214">
        <v>175</v>
      </c>
      <c r="E214">
        <v>20.59</v>
      </c>
      <c r="F214">
        <v>50</v>
      </c>
      <c r="G214">
        <v>180</v>
      </c>
      <c r="H214">
        <v>0</v>
      </c>
      <c r="I214">
        <v>50</v>
      </c>
      <c r="J214">
        <v>0.75</v>
      </c>
      <c r="K214" s="11" t="str">
        <f>VLOOKUP(materials[[#This Row],[Column1.projectId]],projects[],2,FALSE)</f>
        <v>ALX</v>
      </c>
    </row>
    <row r="215" spans="1:11" x14ac:dyDescent="0.45">
      <c r="A215">
        <v>16</v>
      </c>
      <c r="B215">
        <v>219</v>
      </c>
      <c r="C215" t="s">
        <v>188</v>
      </c>
      <c r="D215">
        <v>0</v>
      </c>
      <c r="E215">
        <v>15.04</v>
      </c>
      <c r="F215">
        <v>1</v>
      </c>
      <c r="G215">
        <v>0</v>
      </c>
      <c r="H215">
        <v>0</v>
      </c>
      <c r="I215">
        <v>0</v>
      </c>
      <c r="J215">
        <v>0</v>
      </c>
      <c r="K215" s="11" t="str">
        <f>VLOOKUP(materials[[#This Row],[Column1.projectId]],projects[],2,FALSE)</f>
        <v>ALX</v>
      </c>
    </row>
    <row r="216" spans="1:11" x14ac:dyDescent="0.45">
      <c r="A216">
        <v>16</v>
      </c>
      <c r="B216">
        <v>220</v>
      </c>
      <c r="C216" t="s">
        <v>189</v>
      </c>
      <c r="D216">
        <v>180</v>
      </c>
      <c r="E216">
        <v>4.47</v>
      </c>
      <c r="F216">
        <v>1</v>
      </c>
      <c r="G216">
        <v>250</v>
      </c>
      <c r="H216">
        <v>0</v>
      </c>
      <c r="I216">
        <v>0</v>
      </c>
      <c r="J216">
        <v>0.75</v>
      </c>
      <c r="K216" s="11" t="str">
        <f>VLOOKUP(materials[[#This Row],[Column1.projectId]],projects[],2,FALSE)</f>
        <v>ALX</v>
      </c>
    </row>
    <row r="217" spans="1:11" x14ac:dyDescent="0.45">
      <c r="A217">
        <v>16</v>
      </c>
      <c r="B217">
        <v>221</v>
      </c>
      <c r="C217" t="s">
        <v>190</v>
      </c>
      <c r="D217">
        <v>175</v>
      </c>
      <c r="E217">
        <v>21.8</v>
      </c>
      <c r="F217">
        <v>50</v>
      </c>
      <c r="G217">
        <v>120</v>
      </c>
      <c r="H217">
        <v>0</v>
      </c>
      <c r="I217">
        <v>30</v>
      </c>
      <c r="J217">
        <v>0.75</v>
      </c>
      <c r="K217" s="11" t="str">
        <f>VLOOKUP(materials[[#This Row],[Column1.projectId]],projects[],2,FALSE)</f>
        <v>ALX</v>
      </c>
    </row>
    <row r="218" spans="1:11" x14ac:dyDescent="0.45">
      <c r="A218">
        <v>16</v>
      </c>
      <c r="B218">
        <v>222</v>
      </c>
      <c r="C218" t="s">
        <v>191</v>
      </c>
      <c r="D218">
        <v>175</v>
      </c>
      <c r="E218">
        <v>19.38</v>
      </c>
      <c r="F218">
        <v>50</v>
      </c>
      <c r="G218">
        <v>120</v>
      </c>
      <c r="H218">
        <v>0</v>
      </c>
      <c r="I218">
        <v>30</v>
      </c>
      <c r="J218">
        <v>0.75</v>
      </c>
      <c r="K218" s="11" t="str">
        <f>VLOOKUP(materials[[#This Row],[Column1.projectId]],projects[],2,FALSE)</f>
        <v>ALX</v>
      </c>
    </row>
    <row r="219" spans="1:11" x14ac:dyDescent="0.45">
      <c r="A219">
        <v>16</v>
      </c>
      <c r="B219">
        <v>223</v>
      </c>
      <c r="C219" t="s">
        <v>192</v>
      </c>
      <c r="D219">
        <v>250</v>
      </c>
      <c r="E219">
        <v>70</v>
      </c>
      <c r="F219">
        <v>8</v>
      </c>
      <c r="G219">
        <v>500</v>
      </c>
      <c r="H219">
        <v>0</v>
      </c>
      <c r="I219">
        <v>200</v>
      </c>
      <c r="J219">
        <v>0.75</v>
      </c>
      <c r="K219" s="11" t="str">
        <f>VLOOKUP(materials[[#This Row],[Column1.projectId]],projects[],2,FALSE)</f>
        <v>ALX</v>
      </c>
    </row>
    <row r="220" spans="1:11" x14ac:dyDescent="0.45">
      <c r="A220">
        <v>16</v>
      </c>
      <c r="B220">
        <v>224</v>
      </c>
      <c r="C220" t="s">
        <v>193</v>
      </c>
      <c r="D220">
        <v>1250</v>
      </c>
      <c r="E220">
        <v>381.27</v>
      </c>
      <c r="F220">
        <v>55</v>
      </c>
      <c r="G220">
        <v>400</v>
      </c>
      <c r="H220">
        <v>0</v>
      </c>
      <c r="I220">
        <v>200</v>
      </c>
      <c r="J220">
        <v>0.75</v>
      </c>
      <c r="K220" s="11" t="str">
        <f>VLOOKUP(materials[[#This Row],[Column1.projectId]],projects[],2,FALSE)</f>
        <v>ALX</v>
      </c>
    </row>
    <row r="221" spans="1:11" x14ac:dyDescent="0.45">
      <c r="A221">
        <v>16</v>
      </c>
      <c r="B221">
        <v>225</v>
      </c>
      <c r="C221" t="s">
        <v>194</v>
      </c>
      <c r="D221">
        <v>800</v>
      </c>
      <c r="E221">
        <v>257.44</v>
      </c>
      <c r="F221">
        <v>55</v>
      </c>
      <c r="G221">
        <v>150</v>
      </c>
      <c r="H221">
        <v>0</v>
      </c>
      <c r="I221">
        <v>62</v>
      </c>
      <c r="J221">
        <v>0.75</v>
      </c>
      <c r="K221" s="11" t="str">
        <f>VLOOKUP(materials[[#This Row],[Column1.projectId]],projects[],2,FALSE)</f>
        <v>ALX</v>
      </c>
    </row>
    <row r="222" spans="1:11" x14ac:dyDescent="0.45">
      <c r="A222">
        <v>16</v>
      </c>
      <c r="B222">
        <v>226</v>
      </c>
      <c r="C222" t="s">
        <v>177</v>
      </c>
      <c r="D222">
        <v>0</v>
      </c>
      <c r="E222">
        <v>192.2</v>
      </c>
      <c r="F222">
        <v>55</v>
      </c>
      <c r="G222">
        <v>0</v>
      </c>
      <c r="H222">
        <v>0</v>
      </c>
      <c r="I222">
        <v>31.82</v>
      </c>
      <c r="J222">
        <v>0</v>
      </c>
      <c r="K222" s="11" t="str">
        <f>VLOOKUP(materials[[#This Row],[Column1.projectId]],projects[],2,FALSE)</f>
        <v>ALX</v>
      </c>
    </row>
    <row r="223" spans="1:11" x14ac:dyDescent="0.45">
      <c r="A223">
        <v>16</v>
      </c>
      <c r="B223">
        <v>227</v>
      </c>
      <c r="C223" t="s">
        <v>89</v>
      </c>
      <c r="D223">
        <v>1</v>
      </c>
      <c r="E223">
        <v>3.11</v>
      </c>
      <c r="F223">
        <v>0.41</v>
      </c>
      <c r="G223">
        <v>0</v>
      </c>
      <c r="H223">
        <v>0</v>
      </c>
      <c r="I223">
        <v>31.82</v>
      </c>
      <c r="J223">
        <v>1</v>
      </c>
      <c r="K223" s="11" t="str">
        <f>VLOOKUP(materials[[#This Row],[Column1.projectId]],projects[],2,FALSE)</f>
        <v>ALX</v>
      </c>
    </row>
    <row r="224" spans="1:11" x14ac:dyDescent="0.45">
      <c r="A224">
        <v>16</v>
      </c>
      <c r="B224">
        <v>228</v>
      </c>
      <c r="C224" t="s">
        <v>55</v>
      </c>
      <c r="D224">
        <v>1</v>
      </c>
      <c r="E224">
        <v>3.11</v>
      </c>
      <c r="F224">
        <v>0.41</v>
      </c>
      <c r="G224">
        <v>0</v>
      </c>
      <c r="H224">
        <v>0</v>
      </c>
      <c r="I224">
        <v>31.82</v>
      </c>
      <c r="J224">
        <v>1</v>
      </c>
      <c r="K224" s="11" t="str">
        <f>VLOOKUP(materials[[#This Row],[Column1.projectId]],projects[],2,FALSE)</f>
        <v>ALX</v>
      </c>
    </row>
    <row r="225" spans="1:11" x14ac:dyDescent="0.45">
      <c r="A225">
        <v>16</v>
      </c>
      <c r="B225">
        <v>229</v>
      </c>
      <c r="C225" t="s">
        <v>76</v>
      </c>
      <c r="D225">
        <v>1</v>
      </c>
      <c r="E225">
        <v>65</v>
      </c>
      <c r="F225">
        <v>55</v>
      </c>
      <c r="G225">
        <v>10.3</v>
      </c>
      <c r="H225">
        <v>0</v>
      </c>
      <c r="I225">
        <v>0</v>
      </c>
      <c r="J225">
        <v>6.4</v>
      </c>
      <c r="K225" s="11" t="str">
        <f>VLOOKUP(materials[[#This Row],[Column1.projectId]],projects[],2,FALSE)</f>
        <v>ALX</v>
      </c>
    </row>
    <row r="226" spans="1:11" x14ac:dyDescent="0.45">
      <c r="A226">
        <v>16</v>
      </c>
      <c r="B226">
        <v>230</v>
      </c>
      <c r="C226" t="s">
        <v>57</v>
      </c>
      <c r="D226">
        <v>1</v>
      </c>
      <c r="E226">
        <v>3.9375</v>
      </c>
      <c r="F226">
        <v>3</v>
      </c>
      <c r="G226">
        <v>1.8</v>
      </c>
      <c r="H226">
        <v>0</v>
      </c>
      <c r="I226">
        <v>0</v>
      </c>
      <c r="J226">
        <v>15</v>
      </c>
      <c r="K226" s="11" t="str">
        <f>VLOOKUP(materials[[#This Row],[Column1.projectId]],projects[],2,FALSE)</f>
        <v>ALX</v>
      </c>
    </row>
    <row r="227" spans="1:11" x14ac:dyDescent="0.45">
      <c r="A227">
        <v>20</v>
      </c>
      <c r="B227">
        <v>231</v>
      </c>
      <c r="C227" t="s">
        <v>145</v>
      </c>
      <c r="D227">
        <v>0</v>
      </c>
      <c r="E227">
        <v>0</v>
      </c>
      <c r="F227">
        <v>3</v>
      </c>
      <c r="G227">
        <v>800</v>
      </c>
      <c r="H227">
        <v>0</v>
      </c>
      <c r="I227">
        <v>0</v>
      </c>
      <c r="J227">
        <v>2</v>
      </c>
      <c r="K227" s="11" t="str">
        <f>VLOOKUP(materials[[#This Row],[Column1.projectId]],projects[],2,FALSE)</f>
        <v>Multicoat</v>
      </c>
    </row>
    <row r="228" spans="1:11" x14ac:dyDescent="0.45">
      <c r="A228">
        <v>20</v>
      </c>
      <c r="B228">
        <v>232</v>
      </c>
      <c r="C228" t="s">
        <v>195</v>
      </c>
      <c r="D228">
        <v>300</v>
      </c>
      <c r="E228">
        <v>59.45</v>
      </c>
      <c r="F228">
        <v>65</v>
      </c>
      <c r="G228">
        <v>200</v>
      </c>
      <c r="H228">
        <v>0</v>
      </c>
      <c r="I228">
        <v>120</v>
      </c>
      <c r="J228">
        <v>1</v>
      </c>
      <c r="K228" s="11" t="str">
        <f>VLOOKUP(materials[[#This Row],[Column1.projectId]],projects[],2,FALSE)</f>
        <v>Multicoat</v>
      </c>
    </row>
    <row r="229" spans="1:11" x14ac:dyDescent="0.45">
      <c r="A229">
        <v>20</v>
      </c>
      <c r="B229">
        <v>233</v>
      </c>
      <c r="C229" t="s">
        <v>147</v>
      </c>
      <c r="D229">
        <v>150</v>
      </c>
      <c r="E229">
        <v>59.45</v>
      </c>
      <c r="F229">
        <v>65</v>
      </c>
      <c r="G229">
        <v>200</v>
      </c>
      <c r="H229">
        <v>0</v>
      </c>
      <c r="I229">
        <v>80</v>
      </c>
      <c r="J229">
        <v>1</v>
      </c>
      <c r="K229" s="11" t="str">
        <f>VLOOKUP(materials[[#This Row],[Column1.projectId]],projects[],2,FALSE)</f>
        <v>Multicoat</v>
      </c>
    </row>
    <row r="230" spans="1:11" x14ac:dyDescent="0.45">
      <c r="A230">
        <v>20</v>
      </c>
      <c r="B230">
        <v>234</v>
      </c>
      <c r="C230" t="s">
        <v>148</v>
      </c>
      <c r="D230">
        <v>0</v>
      </c>
      <c r="E230">
        <v>1.64</v>
      </c>
      <c r="F230">
        <v>0.25</v>
      </c>
      <c r="G230">
        <v>80</v>
      </c>
      <c r="H230">
        <v>0</v>
      </c>
      <c r="I230">
        <v>0</v>
      </c>
      <c r="J230">
        <v>2</v>
      </c>
      <c r="K230" s="11" t="str">
        <f>VLOOKUP(materials[[#This Row],[Column1.projectId]],projects[],2,FALSE)</f>
        <v>Multicoat</v>
      </c>
    </row>
    <row r="231" spans="1:11" x14ac:dyDescent="0.45">
      <c r="A231">
        <v>20</v>
      </c>
      <c r="B231">
        <v>235</v>
      </c>
      <c r="C231" t="s">
        <v>149</v>
      </c>
      <c r="D231">
        <v>0</v>
      </c>
      <c r="E231">
        <v>1.2095</v>
      </c>
      <c r="F231">
        <v>0.25</v>
      </c>
      <c r="G231">
        <v>20</v>
      </c>
      <c r="H231">
        <v>0</v>
      </c>
      <c r="I231">
        <v>0</v>
      </c>
      <c r="J231">
        <v>1</v>
      </c>
      <c r="K231" s="11" t="str">
        <f>VLOOKUP(materials[[#This Row],[Column1.projectId]],projects[],2,FALSE)</f>
        <v>Multicoat</v>
      </c>
    </row>
    <row r="232" spans="1:11" x14ac:dyDescent="0.45">
      <c r="A232">
        <v>20</v>
      </c>
      <c r="B232">
        <v>236</v>
      </c>
      <c r="C232" t="s">
        <v>150</v>
      </c>
      <c r="D232">
        <v>1</v>
      </c>
      <c r="E232">
        <v>38.4375</v>
      </c>
      <c r="F232">
        <v>1</v>
      </c>
      <c r="G232">
        <v>15</v>
      </c>
      <c r="H232">
        <v>0</v>
      </c>
      <c r="I232">
        <v>120</v>
      </c>
      <c r="J232">
        <v>2</v>
      </c>
      <c r="K232" s="11" t="str">
        <f>VLOOKUP(materials[[#This Row],[Column1.projectId]],projects[],2,FALSE)</f>
        <v>Multicoat</v>
      </c>
    </row>
    <row r="233" spans="1:11" x14ac:dyDescent="0.45">
      <c r="A233">
        <v>20</v>
      </c>
      <c r="B233">
        <v>237</v>
      </c>
      <c r="C233" t="s">
        <v>151</v>
      </c>
      <c r="D233">
        <v>1</v>
      </c>
      <c r="E233">
        <v>38.4375</v>
      </c>
      <c r="F233">
        <v>1</v>
      </c>
      <c r="G233">
        <v>15</v>
      </c>
      <c r="H233">
        <v>0</v>
      </c>
      <c r="I233">
        <v>80</v>
      </c>
      <c r="J233">
        <v>0.75</v>
      </c>
      <c r="K233" s="11" t="str">
        <f>VLOOKUP(materials[[#This Row],[Column1.projectId]],projects[],2,FALSE)</f>
        <v>Multicoat</v>
      </c>
    </row>
    <row r="234" spans="1:11" x14ac:dyDescent="0.45">
      <c r="A234">
        <v>20</v>
      </c>
      <c r="B234">
        <v>238</v>
      </c>
      <c r="C234" t="s">
        <v>152</v>
      </c>
      <c r="D234">
        <v>0</v>
      </c>
      <c r="E234">
        <v>0</v>
      </c>
      <c r="F234">
        <v>0</v>
      </c>
      <c r="G234">
        <v>15</v>
      </c>
      <c r="H234">
        <v>0</v>
      </c>
      <c r="I234">
        <v>0</v>
      </c>
      <c r="J234">
        <v>2</v>
      </c>
      <c r="K234" s="11" t="str">
        <f>VLOOKUP(materials[[#This Row],[Column1.projectId]],projects[],2,FALSE)</f>
        <v>Multicoat</v>
      </c>
    </row>
    <row r="235" spans="1:11" x14ac:dyDescent="0.45">
      <c r="A235">
        <v>20</v>
      </c>
      <c r="B235">
        <v>239</v>
      </c>
      <c r="C235" t="s">
        <v>154</v>
      </c>
      <c r="D235">
        <v>225</v>
      </c>
      <c r="E235">
        <v>59.45</v>
      </c>
      <c r="F235">
        <v>65</v>
      </c>
      <c r="G235">
        <v>160</v>
      </c>
      <c r="H235">
        <v>0</v>
      </c>
      <c r="I235">
        <v>40</v>
      </c>
      <c r="J235">
        <v>1</v>
      </c>
      <c r="K235" s="11" t="str">
        <f>VLOOKUP(materials[[#This Row],[Column1.projectId]],projects[],2,FALSE)</f>
        <v>Multicoat</v>
      </c>
    </row>
    <row r="236" spans="1:11" x14ac:dyDescent="0.45">
      <c r="A236">
        <v>20</v>
      </c>
      <c r="B236">
        <v>240</v>
      </c>
      <c r="C236" t="s">
        <v>196</v>
      </c>
      <c r="D236">
        <v>800</v>
      </c>
      <c r="E236">
        <v>215</v>
      </c>
      <c r="F236">
        <v>55</v>
      </c>
      <c r="G236">
        <v>200</v>
      </c>
      <c r="H236">
        <v>0</v>
      </c>
      <c r="I236">
        <v>40</v>
      </c>
      <c r="J236">
        <v>1</v>
      </c>
      <c r="K236" s="11" t="str">
        <f>VLOOKUP(materials[[#This Row],[Column1.projectId]],projects[],2,FALSE)</f>
        <v>Multicoat</v>
      </c>
    </row>
    <row r="237" spans="1:11" x14ac:dyDescent="0.45">
      <c r="A237">
        <v>20</v>
      </c>
      <c r="B237">
        <v>241</v>
      </c>
      <c r="C237" t="s">
        <v>156</v>
      </c>
      <c r="D237">
        <v>1</v>
      </c>
      <c r="E237">
        <v>0.20499999999999999</v>
      </c>
      <c r="F237">
        <v>0</v>
      </c>
      <c r="G237">
        <v>50</v>
      </c>
      <c r="H237">
        <v>0</v>
      </c>
      <c r="I237">
        <v>0</v>
      </c>
      <c r="J237">
        <v>2</v>
      </c>
      <c r="K237" s="11" t="str">
        <f>VLOOKUP(materials[[#This Row],[Column1.projectId]],projects[],2,FALSE)</f>
        <v>Multicoat</v>
      </c>
    </row>
    <row r="238" spans="1:11" x14ac:dyDescent="0.45">
      <c r="A238">
        <v>20</v>
      </c>
      <c r="B238">
        <v>242</v>
      </c>
      <c r="C238" t="s">
        <v>157</v>
      </c>
      <c r="D238">
        <v>100</v>
      </c>
      <c r="E238">
        <v>0.20499999999999999</v>
      </c>
      <c r="F238">
        <v>0</v>
      </c>
      <c r="G238">
        <v>30</v>
      </c>
      <c r="H238">
        <v>0</v>
      </c>
      <c r="I238">
        <v>0</v>
      </c>
      <c r="J238">
        <v>0</v>
      </c>
      <c r="K238" s="11" t="str">
        <f>VLOOKUP(materials[[#This Row],[Column1.projectId]],projects[],2,FALSE)</f>
        <v>Multicoat</v>
      </c>
    </row>
    <row r="239" spans="1:11" x14ac:dyDescent="0.45">
      <c r="A239">
        <v>20</v>
      </c>
      <c r="B239">
        <v>243</v>
      </c>
      <c r="C239" t="s">
        <v>158</v>
      </c>
      <c r="D239">
        <v>100</v>
      </c>
      <c r="E239">
        <v>2.9212500000000001</v>
      </c>
      <c r="F239">
        <v>44</v>
      </c>
      <c r="G239">
        <v>7</v>
      </c>
      <c r="H239">
        <v>0</v>
      </c>
      <c r="I239">
        <v>0</v>
      </c>
      <c r="J239">
        <v>8</v>
      </c>
      <c r="K239" s="11" t="str">
        <f>VLOOKUP(materials[[#This Row],[Column1.projectId]],projects[],2,FALSE)</f>
        <v>Multicoat</v>
      </c>
    </row>
    <row r="240" spans="1:11" x14ac:dyDescent="0.45">
      <c r="A240">
        <v>20</v>
      </c>
      <c r="B240">
        <v>244</v>
      </c>
      <c r="C240" t="s">
        <v>159</v>
      </c>
      <c r="D240">
        <v>300</v>
      </c>
      <c r="E240">
        <v>54.17</v>
      </c>
      <c r="F240">
        <v>0</v>
      </c>
      <c r="G240">
        <v>150</v>
      </c>
      <c r="H240">
        <v>0</v>
      </c>
      <c r="I240">
        <v>0</v>
      </c>
      <c r="J240">
        <v>0.75</v>
      </c>
      <c r="K240" s="11" t="str">
        <f>VLOOKUP(materials[[#This Row],[Column1.projectId]],projects[],2,FALSE)</f>
        <v>Multicoat</v>
      </c>
    </row>
    <row r="241" spans="1:11" x14ac:dyDescent="0.45">
      <c r="A241">
        <v>20</v>
      </c>
      <c r="B241">
        <v>245</v>
      </c>
      <c r="C241" t="s">
        <v>160</v>
      </c>
      <c r="D241">
        <v>150</v>
      </c>
      <c r="E241">
        <v>158.47999999999999</v>
      </c>
      <c r="F241">
        <v>0</v>
      </c>
      <c r="G241">
        <v>0</v>
      </c>
      <c r="H241">
        <v>0</v>
      </c>
      <c r="I241">
        <v>0</v>
      </c>
      <c r="J241">
        <v>0.75</v>
      </c>
      <c r="K241" s="11" t="str">
        <f>VLOOKUP(materials[[#This Row],[Column1.projectId]],projects[],2,FALSE)</f>
        <v>Multicoat</v>
      </c>
    </row>
    <row r="242" spans="1:11" x14ac:dyDescent="0.45">
      <c r="A242">
        <v>7</v>
      </c>
      <c r="B242">
        <v>246</v>
      </c>
      <c r="C242" t="s">
        <v>197</v>
      </c>
      <c r="D242">
        <v>1</v>
      </c>
      <c r="E242">
        <v>1.3</v>
      </c>
      <c r="F242">
        <v>0.25</v>
      </c>
      <c r="G242">
        <v>15</v>
      </c>
      <c r="H242">
        <v>0</v>
      </c>
      <c r="I242">
        <v>0</v>
      </c>
      <c r="J242">
        <v>6</v>
      </c>
      <c r="K242" s="11" t="str">
        <f>VLOOKUP(materials[[#This Row],[Column1.projectId]],projects[],2,FALSE)</f>
        <v>Paraseal LG</v>
      </c>
    </row>
    <row r="243" spans="1:11" x14ac:dyDescent="0.45">
      <c r="A243">
        <v>7</v>
      </c>
      <c r="B243">
        <v>247</v>
      </c>
      <c r="C243" t="s">
        <v>198</v>
      </c>
      <c r="D243">
        <v>25</v>
      </c>
      <c r="E243">
        <v>68.78</v>
      </c>
      <c r="F243">
        <v>3</v>
      </c>
      <c r="G243">
        <v>0</v>
      </c>
      <c r="H243">
        <v>0</v>
      </c>
      <c r="I243">
        <v>0</v>
      </c>
      <c r="J243">
        <v>0</v>
      </c>
      <c r="K243" s="11" t="str">
        <f>VLOOKUP(materials[[#This Row],[Column1.projectId]],projects[],2,FALSE)</f>
        <v>Paraseal LG</v>
      </c>
    </row>
    <row r="244" spans="1:11" x14ac:dyDescent="0.45">
      <c r="A244">
        <v>7</v>
      </c>
      <c r="B244">
        <v>248</v>
      </c>
      <c r="C244" t="s">
        <v>199</v>
      </c>
      <c r="D244">
        <v>30</v>
      </c>
      <c r="E244">
        <v>7.74</v>
      </c>
      <c r="F244">
        <v>2</v>
      </c>
      <c r="G244">
        <v>30</v>
      </c>
      <c r="H244">
        <v>0</v>
      </c>
      <c r="I244">
        <v>0</v>
      </c>
      <c r="J244">
        <v>0</v>
      </c>
      <c r="K244" s="11" t="str">
        <f>VLOOKUP(materials[[#This Row],[Column1.projectId]],projects[],2,FALSE)</f>
        <v>Paraseal LG</v>
      </c>
    </row>
    <row r="245" spans="1:11" x14ac:dyDescent="0.45">
      <c r="A245">
        <v>7</v>
      </c>
      <c r="B245">
        <v>249</v>
      </c>
      <c r="C245" t="s">
        <v>200</v>
      </c>
      <c r="D245">
        <v>2500</v>
      </c>
      <c r="E245">
        <v>261.62</v>
      </c>
      <c r="F245">
        <v>55</v>
      </c>
      <c r="G245">
        <v>1000</v>
      </c>
      <c r="H245">
        <v>0</v>
      </c>
      <c r="I245">
        <v>0</v>
      </c>
      <c r="J245">
        <v>0</v>
      </c>
      <c r="K245" s="11" t="str">
        <f>VLOOKUP(materials[[#This Row],[Column1.projectId]],projects[],2,FALSE)</f>
        <v>Paraseal LG</v>
      </c>
    </row>
    <row r="246" spans="1:11" x14ac:dyDescent="0.45">
      <c r="A246">
        <v>7</v>
      </c>
      <c r="B246">
        <v>250</v>
      </c>
      <c r="C246" t="s">
        <v>201</v>
      </c>
      <c r="D246">
        <v>35</v>
      </c>
      <c r="E246">
        <v>22.89</v>
      </c>
      <c r="F246">
        <v>10</v>
      </c>
      <c r="G246">
        <v>0</v>
      </c>
      <c r="H246">
        <v>150</v>
      </c>
      <c r="I246">
        <v>0</v>
      </c>
      <c r="J246">
        <v>0</v>
      </c>
      <c r="K246" s="11" t="str">
        <f>VLOOKUP(materials[[#This Row],[Column1.projectId]],projects[],2,FALSE)</f>
        <v>Paraseal LG</v>
      </c>
    </row>
    <row r="247" spans="1:11" x14ac:dyDescent="0.45">
      <c r="A247">
        <v>7</v>
      </c>
      <c r="B247">
        <v>251</v>
      </c>
      <c r="C247" t="s">
        <v>202</v>
      </c>
      <c r="D247">
        <v>76.8</v>
      </c>
      <c r="E247">
        <v>115.81</v>
      </c>
      <c r="F247">
        <v>96</v>
      </c>
      <c r="G247">
        <v>150</v>
      </c>
      <c r="H247">
        <v>80</v>
      </c>
      <c r="I247">
        <v>0</v>
      </c>
      <c r="J247">
        <v>18</v>
      </c>
      <c r="K247" s="11" t="str">
        <f>VLOOKUP(materials[[#This Row],[Column1.projectId]],projects[],2,FALSE)</f>
        <v>Paraseal LG</v>
      </c>
    </row>
    <row r="248" spans="1:11" x14ac:dyDescent="0.45">
      <c r="A248">
        <v>7</v>
      </c>
      <c r="B248">
        <v>252</v>
      </c>
      <c r="C248" t="s">
        <v>203</v>
      </c>
      <c r="D248">
        <v>230.4</v>
      </c>
      <c r="E248">
        <v>115.81</v>
      </c>
      <c r="F248">
        <v>96</v>
      </c>
      <c r="G248">
        <v>0</v>
      </c>
      <c r="H248">
        <v>50</v>
      </c>
      <c r="I248">
        <v>0</v>
      </c>
      <c r="J248">
        <v>6</v>
      </c>
      <c r="K248" s="11" t="str">
        <f>VLOOKUP(materials[[#This Row],[Column1.projectId]],projects[],2,FALSE)</f>
        <v>Paraseal LG</v>
      </c>
    </row>
    <row r="249" spans="1:11" x14ac:dyDescent="0.45">
      <c r="A249">
        <v>7</v>
      </c>
      <c r="B249">
        <v>253</v>
      </c>
      <c r="C249" t="s">
        <v>204</v>
      </c>
      <c r="D249">
        <v>0</v>
      </c>
      <c r="E249">
        <v>0</v>
      </c>
      <c r="F249">
        <v>50</v>
      </c>
      <c r="G249">
        <v>0</v>
      </c>
      <c r="H249">
        <v>0</v>
      </c>
      <c r="I249">
        <v>0</v>
      </c>
      <c r="J249">
        <v>0</v>
      </c>
      <c r="K249" s="11" t="str">
        <f>VLOOKUP(materials[[#This Row],[Column1.projectId]],projects[],2,FALSE)</f>
        <v>Paraseal LG</v>
      </c>
    </row>
    <row r="250" spans="1:11" x14ac:dyDescent="0.45">
      <c r="A250">
        <v>7</v>
      </c>
      <c r="B250">
        <v>254</v>
      </c>
      <c r="C250" t="s">
        <v>205</v>
      </c>
      <c r="D250">
        <v>1000</v>
      </c>
      <c r="E250">
        <v>158.91999999999999</v>
      </c>
      <c r="F250">
        <v>8</v>
      </c>
      <c r="G250">
        <v>0</v>
      </c>
      <c r="H250">
        <v>0</v>
      </c>
      <c r="I250">
        <v>0</v>
      </c>
      <c r="J250">
        <v>0</v>
      </c>
      <c r="K250" s="11" t="str">
        <f>VLOOKUP(materials[[#This Row],[Column1.projectId]],projects[],2,FALSE)</f>
        <v>Paraseal LG</v>
      </c>
    </row>
    <row r="251" spans="1:11" x14ac:dyDescent="0.45">
      <c r="A251">
        <v>7</v>
      </c>
      <c r="B251">
        <v>255</v>
      </c>
      <c r="C251" t="s">
        <v>206</v>
      </c>
      <c r="D251">
        <v>20</v>
      </c>
      <c r="E251">
        <v>24.7</v>
      </c>
      <c r="F251">
        <v>3</v>
      </c>
      <c r="G251">
        <v>50</v>
      </c>
      <c r="H251">
        <v>0</v>
      </c>
      <c r="I251">
        <v>0</v>
      </c>
      <c r="J251">
        <v>6</v>
      </c>
      <c r="K251" s="11" t="str">
        <f>VLOOKUP(materials[[#This Row],[Column1.projectId]],projects[],2,FALSE)</f>
        <v>Paraseal LG</v>
      </c>
    </row>
    <row r="252" spans="1:11" x14ac:dyDescent="0.45">
      <c r="A252">
        <v>7</v>
      </c>
      <c r="B252">
        <v>256</v>
      </c>
      <c r="C252" t="s">
        <v>207</v>
      </c>
      <c r="D252">
        <v>24</v>
      </c>
      <c r="E252">
        <v>0.34849999999999998</v>
      </c>
      <c r="F252">
        <v>0.05</v>
      </c>
      <c r="G252">
        <v>0</v>
      </c>
      <c r="H252">
        <v>0</v>
      </c>
      <c r="I252">
        <v>0</v>
      </c>
      <c r="J252">
        <v>0</v>
      </c>
      <c r="K252" s="11" t="str">
        <f>VLOOKUP(materials[[#This Row],[Column1.projectId]],projects[],2,FALSE)</f>
        <v>Paraseal LG</v>
      </c>
    </row>
    <row r="253" spans="1:11" x14ac:dyDescent="0.45">
      <c r="A253">
        <v>7</v>
      </c>
      <c r="B253">
        <v>257</v>
      </c>
      <c r="C253" t="s">
        <v>208</v>
      </c>
      <c r="D253">
        <v>30</v>
      </c>
      <c r="E253">
        <v>24.46</v>
      </c>
      <c r="F253">
        <v>2</v>
      </c>
      <c r="G253">
        <v>0</v>
      </c>
      <c r="H253">
        <v>0</v>
      </c>
      <c r="I253">
        <v>0</v>
      </c>
      <c r="J253">
        <v>0</v>
      </c>
      <c r="K253" s="11" t="str">
        <f>VLOOKUP(materials[[#This Row],[Column1.projectId]],projects[],2,FALSE)</f>
        <v>Paraseal LG</v>
      </c>
    </row>
    <row r="254" spans="1:11" x14ac:dyDescent="0.45">
      <c r="A254">
        <v>7</v>
      </c>
      <c r="B254">
        <v>258</v>
      </c>
      <c r="C254" t="s">
        <v>209</v>
      </c>
      <c r="D254">
        <v>0</v>
      </c>
      <c r="E254">
        <v>10.25</v>
      </c>
      <c r="F254">
        <v>20</v>
      </c>
      <c r="G254">
        <v>0</v>
      </c>
      <c r="H254">
        <v>0</v>
      </c>
      <c r="I254">
        <v>0</v>
      </c>
      <c r="J254">
        <v>0</v>
      </c>
      <c r="K254" s="11" t="str">
        <f>VLOOKUP(materials[[#This Row],[Column1.projectId]],projects[],2,FALSE)</f>
        <v>Paraseal LG</v>
      </c>
    </row>
    <row r="255" spans="1:11" x14ac:dyDescent="0.45">
      <c r="A255">
        <v>7</v>
      </c>
      <c r="B255">
        <v>259</v>
      </c>
      <c r="C255" t="s">
        <v>210</v>
      </c>
      <c r="D255">
        <v>0</v>
      </c>
      <c r="E255">
        <v>4.0599999999999996</v>
      </c>
      <c r="F255">
        <v>50</v>
      </c>
      <c r="G255">
        <v>0</v>
      </c>
      <c r="H255">
        <v>0</v>
      </c>
      <c r="I255">
        <v>0</v>
      </c>
      <c r="J255">
        <v>0</v>
      </c>
      <c r="K255" s="11" t="str">
        <f>VLOOKUP(materials[[#This Row],[Column1.projectId]],projects[],2,FALSE)</f>
        <v>Paraseal LG</v>
      </c>
    </row>
    <row r="256" spans="1:11" x14ac:dyDescent="0.45">
      <c r="A256">
        <v>7</v>
      </c>
      <c r="B256">
        <v>260</v>
      </c>
      <c r="C256" t="s">
        <v>211</v>
      </c>
      <c r="D256">
        <v>200</v>
      </c>
      <c r="E256">
        <v>139.68</v>
      </c>
      <c r="F256">
        <v>38</v>
      </c>
      <c r="G256">
        <v>0</v>
      </c>
      <c r="H256">
        <v>200</v>
      </c>
      <c r="I256">
        <v>0</v>
      </c>
      <c r="J256">
        <v>6</v>
      </c>
      <c r="K256" s="11" t="str">
        <f>VLOOKUP(materials[[#This Row],[Column1.projectId]],projects[],2,FALSE)</f>
        <v>Paraseal LG</v>
      </c>
    </row>
    <row r="257" spans="1:11" x14ac:dyDescent="0.45">
      <c r="A257">
        <v>7</v>
      </c>
      <c r="B257">
        <v>261</v>
      </c>
      <c r="C257" t="s">
        <v>212</v>
      </c>
      <c r="D257">
        <v>1</v>
      </c>
      <c r="E257">
        <v>6.1499999999999999E-2</v>
      </c>
      <c r="F257">
        <v>60</v>
      </c>
      <c r="G257">
        <v>0</v>
      </c>
      <c r="H257">
        <v>400</v>
      </c>
      <c r="I257">
        <v>0</v>
      </c>
      <c r="J257">
        <v>6</v>
      </c>
      <c r="K257" s="11" t="str">
        <f>VLOOKUP(materials[[#This Row],[Column1.projectId]],projects[],2,FALSE)</f>
        <v>Paraseal LG</v>
      </c>
    </row>
    <row r="258" spans="1:11" x14ac:dyDescent="0.45">
      <c r="A258">
        <v>7</v>
      </c>
      <c r="B258">
        <v>262</v>
      </c>
      <c r="C258" t="s">
        <v>213</v>
      </c>
      <c r="D258">
        <v>1</v>
      </c>
      <c r="E258">
        <v>30.27</v>
      </c>
      <c r="F258">
        <v>1</v>
      </c>
      <c r="G258">
        <v>0</v>
      </c>
      <c r="H258">
        <v>0</v>
      </c>
      <c r="I258">
        <v>0</v>
      </c>
      <c r="J258">
        <v>0</v>
      </c>
      <c r="K258" s="11" t="str">
        <f>VLOOKUP(materials[[#This Row],[Column1.projectId]],projects[],2,FALSE)</f>
        <v>Paraseal LG</v>
      </c>
    </row>
    <row r="259" spans="1:11" x14ac:dyDescent="0.45">
      <c r="A259">
        <v>7</v>
      </c>
      <c r="B259">
        <v>263</v>
      </c>
      <c r="C259" t="s">
        <v>214</v>
      </c>
      <c r="D259">
        <v>1</v>
      </c>
      <c r="E259">
        <v>4.12</v>
      </c>
      <c r="F259">
        <v>27</v>
      </c>
      <c r="G259">
        <v>50</v>
      </c>
      <c r="H259">
        <v>0</v>
      </c>
      <c r="I259">
        <v>0</v>
      </c>
      <c r="J259">
        <v>6</v>
      </c>
      <c r="K259" s="11" t="str">
        <f>VLOOKUP(materials[[#This Row],[Column1.projectId]],projects[],2,FALSE)</f>
        <v>Paraseal LG</v>
      </c>
    </row>
    <row r="260" spans="1:11" x14ac:dyDescent="0.45">
      <c r="A260">
        <v>7</v>
      </c>
      <c r="B260">
        <v>264</v>
      </c>
      <c r="C260" t="s">
        <v>215</v>
      </c>
      <c r="D260">
        <v>6</v>
      </c>
      <c r="E260">
        <v>20.5</v>
      </c>
      <c r="F260">
        <v>5</v>
      </c>
      <c r="G260">
        <v>0</v>
      </c>
      <c r="H260">
        <v>0</v>
      </c>
      <c r="I260">
        <v>0</v>
      </c>
      <c r="J260">
        <v>0</v>
      </c>
      <c r="K260" s="11" t="str">
        <f>VLOOKUP(materials[[#This Row],[Column1.projectId]],projects[],2,FALSE)</f>
        <v>Paraseal LG</v>
      </c>
    </row>
    <row r="261" spans="1:11" x14ac:dyDescent="0.45">
      <c r="A261">
        <v>11</v>
      </c>
      <c r="B261">
        <v>265</v>
      </c>
      <c r="C261" t="s">
        <v>216</v>
      </c>
      <c r="D261">
        <v>18</v>
      </c>
      <c r="E261">
        <v>8.96875</v>
      </c>
      <c r="F261">
        <v>3</v>
      </c>
      <c r="G261">
        <v>120</v>
      </c>
      <c r="H261">
        <v>0</v>
      </c>
      <c r="I261">
        <v>0</v>
      </c>
      <c r="J261">
        <v>0.75</v>
      </c>
      <c r="K261" s="11" t="str">
        <f>VLOOKUP(materials[[#This Row],[Column1.projectId]],projects[],2,FALSE)</f>
        <v>Pli-Dek</v>
      </c>
    </row>
    <row r="262" spans="1:11" x14ac:dyDescent="0.45">
      <c r="A262">
        <v>11</v>
      </c>
      <c r="B262">
        <v>266</v>
      </c>
      <c r="C262" t="s">
        <v>110</v>
      </c>
      <c r="D262">
        <v>600</v>
      </c>
      <c r="E262">
        <v>66.625</v>
      </c>
      <c r="F262">
        <v>1</v>
      </c>
      <c r="G262">
        <v>0</v>
      </c>
      <c r="H262">
        <v>0</v>
      </c>
      <c r="I262">
        <v>0</v>
      </c>
      <c r="J262">
        <v>0</v>
      </c>
      <c r="K262" s="11" t="str">
        <f>VLOOKUP(materials[[#This Row],[Column1.projectId]],projects[],2,FALSE)</f>
        <v>Pli-Dek</v>
      </c>
    </row>
    <row r="263" spans="1:11" x14ac:dyDescent="0.45">
      <c r="A263">
        <v>11</v>
      </c>
      <c r="B263">
        <v>267</v>
      </c>
      <c r="C263" t="s">
        <v>217</v>
      </c>
      <c r="D263">
        <v>250</v>
      </c>
      <c r="E263">
        <v>269.73</v>
      </c>
      <c r="F263">
        <v>55</v>
      </c>
      <c r="G263">
        <v>160</v>
      </c>
      <c r="H263">
        <v>0</v>
      </c>
      <c r="I263">
        <v>0</v>
      </c>
      <c r="J263">
        <v>0.75</v>
      </c>
      <c r="K263" s="11" t="str">
        <f>VLOOKUP(materials[[#This Row],[Column1.projectId]],projects[],2,FALSE)</f>
        <v>Pli-Dek</v>
      </c>
    </row>
    <row r="264" spans="1:11" x14ac:dyDescent="0.45">
      <c r="A264">
        <v>11</v>
      </c>
      <c r="B264">
        <v>268</v>
      </c>
      <c r="C264" t="s">
        <v>218</v>
      </c>
      <c r="D264">
        <v>2000</v>
      </c>
      <c r="E264">
        <v>268.70999999999998</v>
      </c>
      <c r="F264">
        <v>98</v>
      </c>
      <c r="G264">
        <v>160</v>
      </c>
      <c r="H264">
        <v>0</v>
      </c>
      <c r="I264">
        <v>0</v>
      </c>
      <c r="J264">
        <v>0.75</v>
      </c>
      <c r="K264" s="11" t="str">
        <f>VLOOKUP(materials[[#This Row],[Column1.projectId]],projects[],2,FALSE)</f>
        <v>Pli-Dek</v>
      </c>
    </row>
    <row r="265" spans="1:11" x14ac:dyDescent="0.45">
      <c r="A265">
        <v>11</v>
      </c>
      <c r="B265">
        <v>269</v>
      </c>
      <c r="C265" t="s">
        <v>219</v>
      </c>
      <c r="D265">
        <v>33</v>
      </c>
      <c r="E265">
        <v>17</v>
      </c>
      <c r="F265">
        <v>50</v>
      </c>
      <c r="G265">
        <v>180</v>
      </c>
      <c r="H265">
        <v>0</v>
      </c>
      <c r="I265">
        <v>30</v>
      </c>
      <c r="J265">
        <v>0</v>
      </c>
      <c r="K265" s="11" t="str">
        <f>VLOOKUP(materials[[#This Row],[Column1.projectId]],projects[],2,FALSE)</f>
        <v>Pli-Dek</v>
      </c>
    </row>
    <row r="266" spans="1:11" x14ac:dyDescent="0.45">
      <c r="A266">
        <v>11</v>
      </c>
      <c r="B266">
        <v>270</v>
      </c>
      <c r="C266" t="s">
        <v>220</v>
      </c>
      <c r="D266">
        <v>125</v>
      </c>
      <c r="E266">
        <v>17</v>
      </c>
      <c r="F266">
        <v>50</v>
      </c>
      <c r="G266">
        <v>100</v>
      </c>
      <c r="H266">
        <v>0</v>
      </c>
      <c r="I266">
        <v>30</v>
      </c>
      <c r="J266">
        <v>0.75</v>
      </c>
      <c r="K266" s="11" t="str">
        <f>VLOOKUP(materials[[#This Row],[Column1.projectId]],projects[],2,FALSE)</f>
        <v>Pli-Dek</v>
      </c>
    </row>
    <row r="267" spans="1:11" x14ac:dyDescent="0.45">
      <c r="A267">
        <v>11</v>
      </c>
      <c r="B267">
        <v>271</v>
      </c>
      <c r="C267" t="s">
        <v>221</v>
      </c>
      <c r="D267">
        <v>125</v>
      </c>
      <c r="E267">
        <v>17.899999999999999</v>
      </c>
      <c r="F267">
        <v>50</v>
      </c>
      <c r="G267">
        <v>120</v>
      </c>
      <c r="H267">
        <v>0</v>
      </c>
      <c r="I267">
        <v>30</v>
      </c>
      <c r="J267">
        <v>0.75</v>
      </c>
      <c r="K267" s="11" t="str">
        <f>VLOOKUP(materials[[#This Row],[Column1.projectId]],projects[],2,FALSE)</f>
        <v>Pli-Dek</v>
      </c>
    </row>
    <row r="268" spans="1:11" x14ac:dyDescent="0.45">
      <c r="A268">
        <v>11</v>
      </c>
      <c r="B268">
        <v>272</v>
      </c>
      <c r="C268" t="s">
        <v>222</v>
      </c>
      <c r="D268">
        <v>0</v>
      </c>
      <c r="E268">
        <v>188.45</v>
      </c>
      <c r="F268">
        <v>55</v>
      </c>
      <c r="G268">
        <v>0</v>
      </c>
      <c r="H268">
        <v>0</v>
      </c>
      <c r="I268">
        <v>0</v>
      </c>
      <c r="J268">
        <v>0</v>
      </c>
      <c r="K268" s="11" t="str">
        <f>VLOOKUP(materials[[#This Row],[Column1.projectId]],projects[],2,FALSE)</f>
        <v>Pli-Dek</v>
      </c>
    </row>
    <row r="269" spans="1:11" x14ac:dyDescent="0.45">
      <c r="A269">
        <v>11</v>
      </c>
      <c r="B269">
        <v>273</v>
      </c>
      <c r="C269" t="s">
        <v>223</v>
      </c>
      <c r="D269">
        <v>800</v>
      </c>
      <c r="E269">
        <v>240.78</v>
      </c>
      <c r="F269">
        <v>55</v>
      </c>
      <c r="G269">
        <v>150</v>
      </c>
      <c r="H269">
        <v>0</v>
      </c>
      <c r="I269">
        <v>62</v>
      </c>
      <c r="J269">
        <v>0.75</v>
      </c>
      <c r="K269" s="11" t="str">
        <f>VLOOKUP(materials[[#This Row],[Column1.projectId]],projects[],2,FALSE)</f>
        <v>Pli-Dek</v>
      </c>
    </row>
    <row r="270" spans="1:11" x14ac:dyDescent="0.45">
      <c r="A270">
        <v>11</v>
      </c>
      <c r="B270">
        <v>274</v>
      </c>
      <c r="C270" t="s">
        <v>224</v>
      </c>
      <c r="D270">
        <v>600</v>
      </c>
      <c r="E270">
        <v>40.159999999999997</v>
      </c>
      <c r="F270">
        <v>2</v>
      </c>
      <c r="G270">
        <v>0</v>
      </c>
      <c r="H270">
        <v>0</v>
      </c>
      <c r="I270">
        <v>0</v>
      </c>
      <c r="J270">
        <v>0</v>
      </c>
      <c r="K270" s="11" t="str">
        <f>VLOOKUP(materials[[#This Row],[Column1.projectId]],projects[],2,FALSE)</f>
        <v>Pli-Dek</v>
      </c>
    </row>
    <row r="271" spans="1:11" x14ac:dyDescent="0.45">
      <c r="A271">
        <v>11</v>
      </c>
      <c r="B271">
        <v>275</v>
      </c>
      <c r="C271" t="s">
        <v>225</v>
      </c>
      <c r="D271">
        <v>800</v>
      </c>
      <c r="E271">
        <v>307.33600000000001</v>
      </c>
      <c r="F271">
        <v>55</v>
      </c>
      <c r="G271">
        <v>150</v>
      </c>
      <c r="H271">
        <v>0</v>
      </c>
      <c r="I271">
        <v>62</v>
      </c>
      <c r="J271">
        <v>0.75</v>
      </c>
      <c r="K271" s="11" t="str">
        <f>VLOOKUP(materials[[#This Row],[Column1.projectId]],projects[],2,FALSE)</f>
        <v>Pli-Dek</v>
      </c>
    </row>
    <row r="272" spans="1:11" x14ac:dyDescent="0.45">
      <c r="A272">
        <v>11</v>
      </c>
      <c r="B272">
        <v>276</v>
      </c>
      <c r="C272" t="s">
        <v>86</v>
      </c>
      <c r="D272">
        <v>30</v>
      </c>
      <c r="E272">
        <v>7.74</v>
      </c>
      <c r="F272">
        <v>1</v>
      </c>
      <c r="G272">
        <v>120</v>
      </c>
      <c r="H272">
        <v>0</v>
      </c>
      <c r="I272">
        <v>0</v>
      </c>
      <c r="J272">
        <v>0</v>
      </c>
      <c r="K272" s="11" t="str">
        <f>VLOOKUP(materials[[#This Row],[Column1.projectId]],projects[],2,FALSE)</f>
        <v>Pli-Dek</v>
      </c>
    </row>
    <row r="273" spans="1:11" x14ac:dyDescent="0.45">
      <c r="A273">
        <v>11</v>
      </c>
      <c r="B273">
        <v>277</v>
      </c>
      <c r="C273" t="s">
        <v>87</v>
      </c>
      <c r="D273">
        <v>2500</v>
      </c>
      <c r="E273">
        <v>143.36675</v>
      </c>
      <c r="F273">
        <v>55</v>
      </c>
      <c r="G273">
        <v>0</v>
      </c>
      <c r="H273">
        <v>0</v>
      </c>
      <c r="I273">
        <v>0</v>
      </c>
      <c r="J273">
        <v>0</v>
      </c>
      <c r="K273" s="11" t="str">
        <f>VLOOKUP(materials[[#This Row],[Column1.projectId]],projects[],2,FALSE)</f>
        <v>Pli-Dek</v>
      </c>
    </row>
    <row r="274" spans="1:11" x14ac:dyDescent="0.45">
      <c r="A274">
        <v>11</v>
      </c>
      <c r="B274">
        <v>278</v>
      </c>
      <c r="C274" t="s">
        <v>88</v>
      </c>
      <c r="D274">
        <v>125</v>
      </c>
      <c r="E274">
        <v>13.0585</v>
      </c>
      <c r="F274">
        <v>50</v>
      </c>
      <c r="G274">
        <v>100</v>
      </c>
      <c r="H274">
        <v>0</v>
      </c>
      <c r="I274">
        <v>30</v>
      </c>
      <c r="J274">
        <v>0</v>
      </c>
      <c r="K274" s="11" t="str">
        <f>VLOOKUP(materials[[#This Row],[Column1.projectId]],projects[],2,FALSE)</f>
        <v>Pli-Dek</v>
      </c>
    </row>
    <row r="275" spans="1:11" x14ac:dyDescent="0.45">
      <c r="A275">
        <v>11</v>
      </c>
      <c r="B275">
        <v>279</v>
      </c>
      <c r="C275" t="s">
        <v>89</v>
      </c>
      <c r="D275">
        <v>1</v>
      </c>
      <c r="E275">
        <v>3.11</v>
      </c>
      <c r="F275">
        <v>0.41</v>
      </c>
      <c r="G275">
        <v>0</v>
      </c>
      <c r="H275">
        <v>0</v>
      </c>
      <c r="I275">
        <v>31.81818182</v>
      </c>
      <c r="J275">
        <v>1</v>
      </c>
      <c r="K275" s="11" t="str">
        <f>VLOOKUP(materials[[#This Row],[Column1.projectId]],projects[],2,FALSE)</f>
        <v>Pli-Dek</v>
      </c>
    </row>
    <row r="276" spans="1:11" x14ac:dyDescent="0.45">
      <c r="A276">
        <v>11</v>
      </c>
      <c r="B276">
        <v>280</v>
      </c>
      <c r="C276" t="s">
        <v>55</v>
      </c>
      <c r="D276">
        <v>1</v>
      </c>
      <c r="E276">
        <v>3.11</v>
      </c>
      <c r="F276">
        <v>0.41</v>
      </c>
      <c r="G276">
        <v>0</v>
      </c>
      <c r="H276">
        <v>0</v>
      </c>
      <c r="I276">
        <v>31.81818182</v>
      </c>
      <c r="J276">
        <v>1</v>
      </c>
      <c r="K276" s="11" t="str">
        <f>VLOOKUP(materials[[#This Row],[Column1.projectId]],projects[],2,FALSE)</f>
        <v>Pli-Dek</v>
      </c>
    </row>
    <row r="277" spans="1:11" x14ac:dyDescent="0.45">
      <c r="A277">
        <v>11</v>
      </c>
      <c r="B277">
        <v>281</v>
      </c>
      <c r="C277" t="s">
        <v>76</v>
      </c>
      <c r="D277">
        <v>1</v>
      </c>
      <c r="E277">
        <v>65</v>
      </c>
      <c r="F277">
        <v>55</v>
      </c>
      <c r="G277">
        <v>10.3</v>
      </c>
      <c r="H277">
        <v>0</v>
      </c>
      <c r="I277">
        <v>0</v>
      </c>
      <c r="J277">
        <v>6.4</v>
      </c>
      <c r="K277" s="11" t="str">
        <f>VLOOKUP(materials[[#This Row],[Column1.projectId]],projects[],2,FALSE)</f>
        <v>Pli-Dek</v>
      </c>
    </row>
    <row r="278" spans="1:11" x14ac:dyDescent="0.45">
      <c r="A278">
        <v>11</v>
      </c>
      <c r="B278">
        <v>282</v>
      </c>
      <c r="C278" t="s">
        <v>57</v>
      </c>
      <c r="D278">
        <v>1</v>
      </c>
      <c r="E278">
        <v>3.9375</v>
      </c>
      <c r="F278">
        <v>3</v>
      </c>
      <c r="G278">
        <v>1.8</v>
      </c>
      <c r="H278">
        <v>0</v>
      </c>
      <c r="I278">
        <v>0</v>
      </c>
      <c r="J278">
        <v>15</v>
      </c>
      <c r="K278" s="11" t="str">
        <f>VLOOKUP(materials[[#This Row],[Column1.projectId]],projects[],2,FALSE)</f>
        <v>Pli-Dek</v>
      </c>
    </row>
    <row r="279" spans="1:11" x14ac:dyDescent="0.45">
      <c r="A279">
        <v>14</v>
      </c>
      <c r="B279">
        <v>283</v>
      </c>
      <c r="C279" t="s">
        <v>226</v>
      </c>
      <c r="D279">
        <v>0</v>
      </c>
      <c r="E279">
        <v>0</v>
      </c>
      <c r="F279">
        <v>0</v>
      </c>
      <c r="G279">
        <v>45</v>
      </c>
      <c r="H279">
        <v>0</v>
      </c>
      <c r="I279">
        <v>180</v>
      </c>
      <c r="J279">
        <v>0.75</v>
      </c>
      <c r="K279" s="11" t="str">
        <f>VLOOKUP(materials[[#This Row],[Column1.projectId]],projects[],2,FALSE)</f>
        <v>Tufflex</v>
      </c>
    </row>
    <row r="280" spans="1:11" x14ac:dyDescent="0.45">
      <c r="A280">
        <v>14</v>
      </c>
      <c r="B280">
        <v>284</v>
      </c>
      <c r="C280" t="s">
        <v>227</v>
      </c>
      <c r="D280">
        <v>600</v>
      </c>
      <c r="E280">
        <v>118.67449999999999</v>
      </c>
      <c r="F280">
        <v>15</v>
      </c>
      <c r="G280">
        <v>120</v>
      </c>
      <c r="H280">
        <v>0</v>
      </c>
      <c r="I280">
        <v>62</v>
      </c>
      <c r="J280">
        <v>0.75</v>
      </c>
      <c r="K280" s="11" t="str">
        <f>VLOOKUP(materials[[#This Row],[Column1.projectId]],projects[],2,FALSE)</f>
        <v>Tufflex</v>
      </c>
    </row>
    <row r="281" spans="1:11" x14ac:dyDescent="0.45">
      <c r="A281">
        <v>14</v>
      </c>
      <c r="B281">
        <v>285</v>
      </c>
      <c r="C281" t="s">
        <v>228</v>
      </c>
      <c r="D281">
        <v>18</v>
      </c>
      <c r="E281">
        <v>8.96875</v>
      </c>
      <c r="F281">
        <v>3</v>
      </c>
      <c r="G281">
        <v>120</v>
      </c>
      <c r="H281">
        <v>86.25</v>
      </c>
      <c r="I281">
        <v>30</v>
      </c>
      <c r="J281">
        <v>0.75</v>
      </c>
      <c r="K281" s="11" t="str">
        <f>VLOOKUP(materials[[#This Row],[Column1.projectId]],projects[],2,FALSE)</f>
        <v>Tufflex</v>
      </c>
    </row>
    <row r="282" spans="1:11" x14ac:dyDescent="0.45">
      <c r="A282">
        <v>14</v>
      </c>
      <c r="B282">
        <v>286</v>
      </c>
      <c r="C282" t="s">
        <v>229</v>
      </c>
      <c r="D282">
        <v>600</v>
      </c>
      <c r="E282">
        <v>66.625</v>
      </c>
      <c r="F282">
        <v>3</v>
      </c>
      <c r="G282">
        <v>0</v>
      </c>
      <c r="H282">
        <v>0</v>
      </c>
      <c r="I282">
        <v>0</v>
      </c>
      <c r="J282">
        <v>0.75</v>
      </c>
      <c r="K282" s="11" t="str">
        <f>VLOOKUP(materials[[#This Row],[Column1.projectId]],projects[],2,FALSE)</f>
        <v>Tufflex</v>
      </c>
    </row>
    <row r="283" spans="1:11" x14ac:dyDescent="0.45">
      <c r="A283">
        <v>14</v>
      </c>
      <c r="B283">
        <v>287</v>
      </c>
      <c r="C283" t="s">
        <v>230</v>
      </c>
      <c r="D283">
        <v>100</v>
      </c>
      <c r="E283">
        <v>165.97825</v>
      </c>
      <c r="F283">
        <v>55</v>
      </c>
      <c r="G283">
        <v>150</v>
      </c>
      <c r="H283">
        <v>0</v>
      </c>
      <c r="I283">
        <v>30</v>
      </c>
      <c r="J283">
        <v>0.75</v>
      </c>
      <c r="K283" s="11" t="str">
        <f>VLOOKUP(materials[[#This Row],[Column1.projectId]],projects[],2,FALSE)</f>
        <v>Tufflex</v>
      </c>
    </row>
    <row r="284" spans="1:11" x14ac:dyDescent="0.45">
      <c r="A284">
        <v>14</v>
      </c>
      <c r="B284">
        <v>288</v>
      </c>
      <c r="C284" t="s">
        <v>231</v>
      </c>
      <c r="D284">
        <v>120</v>
      </c>
      <c r="E284">
        <v>24.75375</v>
      </c>
      <c r="F284">
        <v>100</v>
      </c>
      <c r="G284">
        <v>0</v>
      </c>
      <c r="H284">
        <v>0</v>
      </c>
      <c r="I284">
        <v>0</v>
      </c>
      <c r="J284">
        <v>0</v>
      </c>
      <c r="K284" s="11" t="str">
        <f>VLOOKUP(materials[[#This Row],[Column1.projectId]],projects[],2,FALSE)</f>
        <v>Tufflex</v>
      </c>
    </row>
    <row r="285" spans="1:11" x14ac:dyDescent="0.45">
      <c r="A285">
        <v>14</v>
      </c>
      <c r="B285">
        <v>289</v>
      </c>
      <c r="C285" t="s">
        <v>232</v>
      </c>
      <c r="D285">
        <v>400</v>
      </c>
      <c r="E285">
        <v>165.97825</v>
      </c>
      <c r="F285">
        <v>55</v>
      </c>
      <c r="G285">
        <v>125</v>
      </c>
      <c r="H285">
        <v>0</v>
      </c>
      <c r="I285">
        <v>30</v>
      </c>
      <c r="J285">
        <v>0</v>
      </c>
      <c r="K285" s="11" t="str">
        <f>VLOOKUP(materials[[#This Row],[Column1.projectId]],projects[],2,FALSE)</f>
        <v>Tufflex</v>
      </c>
    </row>
    <row r="286" spans="1:11" x14ac:dyDescent="0.45">
      <c r="A286">
        <v>14</v>
      </c>
      <c r="B286">
        <v>290</v>
      </c>
      <c r="C286" t="s">
        <v>233</v>
      </c>
      <c r="D286">
        <v>120</v>
      </c>
      <c r="E286">
        <v>24.75375</v>
      </c>
      <c r="F286">
        <v>100</v>
      </c>
      <c r="G286">
        <v>0</v>
      </c>
      <c r="H286">
        <v>0</v>
      </c>
      <c r="I286">
        <v>0</v>
      </c>
      <c r="J286">
        <v>0.75</v>
      </c>
      <c r="K286" s="11" t="str">
        <f>VLOOKUP(materials[[#This Row],[Column1.projectId]],projects[],2,FALSE)</f>
        <v>Tufflex</v>
      </c>
    </row>
    <row r="287" spans="1:11" x14ac:dyDescent="0.45">
      <c r="A287">
        <v>14</v>
      </c>
      <c r="B287">
        <v>291</v>
      </c>
      <c r="C287" t="s">
        <v>234</v>
      </c>
      <c r="D287">
        <v>400</v>
      </c>
      <c r="E287">
        <v>261.28275000000002</v>
      </c>
      <c r="F287">
        <v>55</v>
      </c>
      <c r="G287">
        <v>150</v>
      </c>
      <c r="H287">
        <v>0</v>
      </c>
      <c r="I287">
        <v>62</v>
      </c>
      <c r="J287">
        <v>0.75</v>
      </c>
      <c r="K287" s="11" t="str">
        <f>VLOOKUP(materials[[#This Row],[Column1.projectId]],projects[],2,FALSE)</f>
        <v>Tufflex</v>
      </c>
    </row>
    <row r="288" spans="1:11" x14ac:dyDescent="0.45">
      <c r="A288">
        <v>14</v>
      </c>
      <c r="B288">
        <v>292</v>
      </c>
      <c r="C288" t="s">
        <v>89</v>
      </c>
      <c r="D288">
        <v>1</v>
      </c>
      <c r="E288">
        <v>3.11</v>
      </c>
      <c r="F288">
        <v>0.41</v>
      </c>
      <c r="G288">
        <v>0</v>
      </c>
      <c r="H288">
        <v>0</v>
      </c>
      <c r="I288">
        <v>31.81818182</v>
      </c>
      <c r="J288">
        <v>1</v>
      </c>
      <c r="K288" s="11" t="str">
        <f>VLOOKUP(materials[[#This Row],[Column1.projectId]],projects[],2,FALSE)</f>
        <v>Tufflex</v>
      </c>
    </row>
    <row r="289" spans="1:11" x14ac:dyDescent="0.45">
      <c r="A289">
        <v>14</v>
      </c>
      <c r="B289">
        <v>293</v>
      </c>
      <c r="C289" t="s">
        <v>55</v>
      </c>
      <c r="D289">
        <v>1</v>
      </c>
      <c r="E289">
        <v>3.11</v>
      </c>
      <c r="F289">
        <v>0.41</v>
      </c>
      <c r="G289">
        <v>0</v>
      </c>
      <c r="H289">
        <v>0</v>
      </c>
      <c r="I289">
        <v>31.81818182</v>
      </c>
      <c r="J289">
        <v>1</v>
      </c>
      <c r="K289" s="11" t="str">
        <f>VLOOKUP(materials[[#This Row],[Column1.projectId]],projects[],2,FALSE)</f>
        <v>Tufflex</v>
      </c>
    </row>
    <row r="290" spans="1:11" x14ac:dyDescent="0.45">
      <c r="A290">
        <v>14</v>
      </c>
      <c r="B290">
        <v>294</v>
      </c>
      <c r="C290" t="s">
        <v>76</v>
      </c>
      <c r="D290">
        <v>1</v>
      </c>
      <c r="E290">
        <v>65</v>
      </c>
      <c r="F290">
        <v>55</v>
      </c>
      <c r="G290">
        <v>10.3</v>
      </c>
      <c r="H290">
        <v>0</v>
      </c>
      <c r="I290">
        <v>0</v>
      </c>
      <c r="J290">
        <v>6.4</v>
      </c>
      <c r="K290" s="11" t="str">
        <f>VLOOKUP(materials[[#This Row],[Column1.projectId]],projects[],2,FALSE)</f>
        <v>Tufflex</v>
      </c>
    </row>
    <row r="291" spans="1:11" x14ac:dyDescent="0.45">
      <c r="A291">
        <v>14</v>
      </c>
      <c r="B291">
        <v>295</v>
      </c>
      <c r="C291" t="s">
        <v>57</v>
      </c>
      <c r="D291">
        <v>1</v>
      </c>
      <c r="E291">
        <v>3.9375</v>
      </c>
      <c r="F291">
        <v>3</v>
      </c>
      <c r="G291">
        <v>1.8</v>
      </c>
      <c r="H291">
        <v>0</v>
      </c>
      <c r="I291">
        <v>0</v>
      </c>
      <c r="J291">
        <v>15</v>
      </c>
      <c r="K291" s="11" t="str">
        <f>VLOOKUP(materials[[#This Row],[Column1.projectId]],projects[],2,FALSE)</f>
        <v>Tufflex</v>
      </c>
    </row>
    <row r="292" spans="1:11" x14ac:dyDescent="0.45">
      <c r="A292">
        <v>6</v>
      </c>
      <c r="B292">
        <v>296</v>
      </c>
      <c r="C292" t="s">
        <v>235</v>
      </c>
      <c r="D292">
        <v>1</v>
      </c>
      <c r="E292">
        <v>1.3263499999999999</v>
      </c>
      <c r="F292">
        <v>0.25</v>
      </c>
      <c r="G292">
        <v>15</v>
      </c>
      <c r="H292">
        <v>0</v>
      </c>
      <c r="I292">
        <v>0</v>
      </c>
      <c r="J292">
        <v>6</v>
      </c>
      <c r="K292" s="11" t="str">
        <f>VLOOKUP(materials[[#This Row],[Column1.projectId]],projects[],2,FALSE)</f>
        <v>Paraseal</v>
      </c>
    </row>
    <row r="293" spans="1:11" x14ac:dyDescent="0.45">
      <c r="A293">
        <v>6</v>
      </c>
      <c r="B293">
        <v>297</v>
      </c>
      <c r="C293" t="s">
        <v>236</v>
      </c>
      <c r="D293">
        <v>1</v>
      </c>
      <c r="E293">
        <v>1.3263499999999999</v>
      </c>
      <c r="F293">
        <v>0.25</v>
      </c>
      <c r="G293">
        <v>15</v>
      </c>
      <c r="H293">
        <v>0</v>
      </c>
      <c r="I293">
        <v>0</v>
      </c>
      <c r="J293">
        <v>0</v>
      </c>
      <c r="K293" s="11" t="str">
        <f>VLOOKUP(materials[[#This Row],[Column1.projectId]],projects[],2,FALSE)</f>
        <v>Paraseal</v>
      </c>
    </row>
    <row r="294" spans="1:11" x14ac:dyDescent="0.45">
      <c r="A294">
        <v>6</v>
      </c>
      <c r="B294">
        <v>298</v>
      </c>
      <c r="C294" t="s">
        <v>237</v>
      </c>
      <c r="D294">
        <v>15</v>
      </c>
      <c r="E294">
        <v>6.98</v>
      </c>
      <c r="F294">
        <v>2</v>
      </c>
      <c r="G294">
        <v>30</v>
      </c>
      <c r="H294">
        <v>0</v>
      </c>
      <c r="I294">
        <v>0</v>
      </c>
      <c r="J294">
        <v>0</v>
      </c>
      <c r="K294" s="11" t="str">
        <f>VLOOKUP(materials[[#This Row],[Column1.projectId]],projects[],2,FALSE)</f>
        <v>Paraseal</v>
      </c>
    </row>
    <row r="295" spans="1:11" x14ac:dyDescent="0.45">
      <c r="A295">
        <v>6</v>
      </c>
      <c r="B295">
        <v>299</v>
      </c>
      <c r="C295" t="s">
        <v>200</v>
      </c>
      <c r="D295">
        <v>2500</v>
      </c>
      <c r="E295">
        <v>261.62</v>
      </c>
      <c r="F295">
        <v>55</v>
      </c>
      <c r="G295">
        <v>1000</v>
      </c>
      <c r="H295">
        <v>0</v>
      </c>
      <c r="I295">
        <v>0</v>
      </c>
      <c r="J295">
        <v>0</v>
      </c>
      <c r="K295" s="11" t="str">
        <f>VLOOKUP(materials[[#This Row],[Column1.projectId]],projects[],2,FALSE)</f>
        <v>Paraseal</v>
      </c>
    </row>
    <row r="296" spans="1:11" x14ac:dyDescent="0.45">
      <c r="A296">
        <v>6</v>
      </c>
      <c r="B296">
        <v>300</v>
      </c>
      <c r="C296" t="s">
        <v>201</v>
      </c>
      <c r="D296">
        <v>35</v>
      </c>
      <c r="E296">
        <v>22.89</v>
      </c>
      <c r="F296">
        <v>10</v>
      </c>
      <c r="G296">
        <v>0</v>
      </c>
      <c r="H296">
        <v>150</v>
      </c>
      <c r="I296">
        <v>0</v>
      </c>
      <c r="J296">
        <v>0</v>
      </c>
      <c r="K296" s="11" t="str">
        <f>VLOOKUP(materials[[#This Row],[Column1.projectId]],projects[],2,FALSE)</f>
        <v>Paraseal</v>
      </c>
    </row>
    <row r="297" spans="1:11" x14ac:dyDescent="0.45">
      <c r="A297">
        <v>6</v>
      </c>
      <c r="B297">
        <v>301</v>
      </c>
      <c r="C297" t="s">
        <v>238</v>
      </c>
      <c r="D297">
        <v>81.599999999999994</v>
      </c>
      <c r="E297">
        <v>108.57</v>
      </c>
      <c r="F297">
        <v>96</v>
      </c>
      <c r="G297">
        <v>150</v>
      </c>
      <c r="H297">
        <v>80</v>
      </c>
      <c r="I297">
        <v>0</v>
      </c>
      <c r="J297">
        <v>16</v>
      </c>
      <c r="K297" s="11" t="str">
        <f>VLOOKUP(materials[[#This Row],[Column1.projectId]],projects[],2,FALSE)</f>
        <v>Paraseal</v>
      </c>
    </row>
    <row r="298" spans="1:11" x14ac:dyDescent="0.45">
      <c r="A298">
        <v>6</v>
      </c>
      <c r="B298">
        <v>302</v>
      </c>
      <c r="C298" t="s">
        <v>239</v>
      </c>
      <c r="D298">
        <v>75</v>
      </c>
      <c r="E298">
        <v>20.93</v>
      </c>
      <c r="F298">
        <v>5</v>
      </c>
      <c r="G298">
        <v>1000</v>
      </c>
      <c r="H298">
        <v>200</v>
      </c>
      <c r="I298">
        <v>0</v>
      </c>
      <c r="J298">
        <v>0</v>
      </c>
      <c r="K298" s="11" t="str">
        <f>VLOOKUP(materials[[#This Row],[Column1.projectId]],projects[],2,FALSE)</f>
        <v>Paraseal</v>
      </c>
    </row>
    <row r="299" spans="1:11" x14ac:dyDescent="0.45">
      <c r="A299">
        <v>6</v>
      </c>
      <c r="B299">
        <v>303</v>
      </c>
      <c r="C299" t="s">
        <v>240</v>
      </c>
      <c r="D299">
        <v>1</v>
      </c>
      <c r="E299">
        <v>39.58</v>
      </c>
      <c r="F299">
        <v>55</v>
      </c>
      <c r="G299">
        <v>8</v>
      </c>
      <c r="H299">
        <v>0</v>
      </c>
      <c r="I299">
        <v>0</v>
      </c>
      <c r="J299">
        <v>0</v>
      </c>
      <c r="K299" s="11" t="str">
        <f>VLOOKUP(materials[[#This Row],[Column1.projectId]],projects[],2,FALSE)</f>
        <v>Paraseal</v>
      </c>
    </row>
    <row r="300" spans="1:11" x14ac:dyDescent="0.45">
      <c r="A300">
        <v>6</v>
      </c>
      <c r="B300">
        <v>304</v>
      </c>
      <c r="C300" t="s">
        <v>241</v>
      </c>
      <c r="D300">
        <v>81.599999999999994</v>
      </c>
      <c r="E300">
        <v>108.57</v>
      </c>
      <c r="F300">
        <v>96</v>
      </c>
      <c r="G300">
        <v>0</v>
      </c>
      <c r="H300">
        <v>100</v>
      </c>
      <c r="I300">
        <v>0</v>
      </c>
      <c r="J300">
        <v>0</v>
      </c>
      <c r="K300" s="11" t="str">
        <f>VLOOKUP(materials[[#This Row],[Column1.projectId]],projects[],2,FALSE)</f>
        <v>Paraseal</v>
      </c>
    </row>
    <row r="301" spans="1:11" x14ac:dyDescent="0.45">
      <c r="A301">
        <v>6</v>
      </c>
      <c r="B301">
        <v>305</v>
      </c>
      <c r="C301" t="s">
        <v>206</v>
      </c>
      <c r="D301">
        <v>20</v>
      </c>
      <c r="E301">
        <v>24.7</v>
      </c>
      <c r="F301">
        <v>3</v>
      </c>
      <c r="G301">
        <v>50</v>
      </c>
      <c r="H301">
        <v>0</v>
      </c>
      <c r="I301">
        <v>0</v>
      </c>
      <c r="J301">
        <v>6</v>
      </c>
      <c r="K301" s="11" t="str">
        <f>VLOOKUP(materials[[#This Row],[Column1.projectId]],projects[],2,FALSE)</f>
        <v>Paraseal</v>
      </c>
    </row>
    <row r="302" spans="1:11" x14ac:dyDescent="0.45">
      <c r="A302">
        <v>6</v>
      </c>
      <c r="B302">
        <v>306</v>
      </c>
      <c r="C302" t="s">
        <v>207</v>
      </c>
      <c r="D302">
        <v>10</v>
      </c>
      <c r="E302">
        <v>0.34849999999999998</v>
      </c>
      <c r="F302">
        <v>0.05</v>
      </c>
      <c r="G302">
        <v>0</v>
      </c>
      <c r="H302">
        <v>0</v>
      </c>
      <c r="I302">
        <v>0</v>
      </c>
      <c r="J302">
        <v>0</v>
      </c>
      <c r="K302" s="11" t="str">
        <f>VLOOKUP(materials[[#This Row],[Column1.projectId]],projects[],2,FALSE)</f>
        <v>Paraseal</v>
      </c>
    </row>
    <row r="303" spans="1:11" x14ac:dyDescent="0.45">
      <c r="A303">
        <v>6</v>
      </c>
      <c r="B303">
        <v>307</v>
      </c>
      <c r="C303" t="s">
        <v>242</v>
      </c>
      <c r="D303">
        <v>667</v>
      </c>
      <c r="E303">
        <v>259</v>
      </c>
      <c r="F303">
        <v>40</v>
      </c>
      <c r="G303">
        <v>300</v>
      </c>
      <c r="H303">
        <v>0</v>
      </c>
      <c r="I303">
        <v>160</v>
      </c>
      <c r="J303">
        <v>0</v>
      </c>
      <c r="K303" s="11" t="str">
        <f>VLOOKUP(materials[[#This Row],[Column1.projectId]],projects[],2,FALSE)</f>
        <v>Paraseal</v>
      </c>
    </row>
    <row r="304" spans="1:11" x14ac:dyDescent="0.45">
      <c r="A304">
        <v>6</v>
      </c>
      <c r="B304">
        <v>308</v>
      </c>
      <c r="C304" t="s">
        <v>243</v>
      </c>
      <c r="D304">
        <v>200</v>
      </c>
      <c r="E304">
        <v>74.97</v>
      </c>
      <c r="F304">
        <v>30</v>
      </c>
      <c r="G304">
        <v>0</v>
      </c>
      <c r="H304">
        <v>200</v>
      </c>
      <c r="I304">
        <v>0</v>
      </c>
      <c r="J304">
        <v>0</v>
      </c>
      <c r="K304" s="11" t="str">
        <f>VLOOKUP(materials[[#This Row],[Column1.projectId]],projects[],2,FALSE)</f>
        <v>Paraseal</v>
      </c>
    </row>
    <row r="305" spans="1:11" x14ac:dyDescent="0.45">
      <c r="A305">
        <v>6</v>
      </c>
      <c r="B305">
        <v>309</v>
      </c>
      <c r="C305" t="s">
        <v>211</v>
      </c>
      <c r="D305">
        <v>200</v>
      </c>
      <c r="E305">
        <v>139.68</v>
      </c>
      <c r="F305">
        <v>38</v>
      </c>
      <c r="G305">
        <v>0</v>
      </c>
      <c r="H305">
        <v>200</v>
      </c>
      <c r="I305">
        <v>0</v>
      </c>
      <c r="J305">
        <v>6</v>
      </c>
      <c r="K305" s="11" t="str">
        <f>VLOOKUP(materials[[#This Row],[Column1.projectId]],projects[],2,FALSE)</f>
        <v>Paraseal</v>
      </c>
    </row>
    <row r="306" spans="1:11" x14ac:dyDescent="0.45">
      <c r="A306">
        <v>6</v>
      </c>
      <c r="B306">
        <v>310</v>
      </c>
      <c r="C306" t="s">
        <v>244</v>
      </c>
      <c r="D306">
        <v>200</v>
      </c>
      <c r="E306">
        <v>139.68</v>
      </c>
      <c r="F306">
        <v>38</v>
      </c>
      <c r="G306">
        <v>300</v>
      </c>
      <c r="H306">
        <v>0</v>
      </c>
      <c r="I306">
        <v>160</v>
      </c>
      <c r="J306">
        <v>6</v>
      </c>
      <c r="K306" s="11" t="str">
        <f>VLOOKUP(materials[[#This Row],[Column1.projectId]],projects[],2,FALSE)</f>
        <v>Paraseal</v>
      </c>
    </row>
    <row r="307" spans="1:11" x14ac:dyDescent="0.45">
      <c r="A307">
        <v>6</v>
      </c>
      <c r="B307">
        <v>311</v>
      </c>
      <c r="C307" t="s">
        <v>245</v>
      </c>
      <c r="D307">
        <v>1</v>
      </c>
      <c r="E307">
        <v>30.27</v>
      </c>
      <c r="F307">
        <v>1</v>
      </c>
      <c r="G307">
        <v>0</v>
      </c>
      <c r="H307">
        <v>0</v>
      </c>
      <c r="I307">
        <v>0</v>
      </c>
      <c r="J307">
        <v>0</v>
      </c>
      <c r="K307" s="11" t="str">
        <f>VLOOKUP(materials[[#This Row],[Column1.projectId]],projects[],2,FALSE)</f>
        <v>Paraseal</v>
      </c>
    </row>
    <row r="308" spans="1:11" x14ac:dyDescent="0.45">
      <c r="A308">
        <v>6</v>
      </c>
      <c r="B308">
        <v>312</v>
      </c>
      <c r="C308" t="s">
        <v>214</v>
      </c>
      <c r="D308">
        <v>1</v>
      </c>
      <c r="E308">
        <v>4.12</v>
      </c>
      <c r="F308">
        <v>27</v>
      </c>
      <c r="G308">
        <v>50</v>
      </c>
      <c r="H308">
        <v>0</v>
      </c>
      <c r="I308">
        <v>0</v>
      </c>
      <c r="J308">
        <v>6</v>
      </c>
      <c r="K308" s="11" t="str">
        <f>VLOOKUP(materials[[#This Row],[Column1.projectId]],projects[],2,FALSE)</f>
        <v>Paraseal</v>
      </c>
    </row>
    <row r="309" spans="1:11" x14ac:dyDescent="0.45">
      <c r="A309">
        <v>6</v>
      </c>
      <c r="B309">
        <v>313</v>
      </c>
      <c r="C309" t="s">
        <v>246</v>
      </c>
      <c r="D309">
        <v>0</v>
      </c>
      <c r="E309">
        <v>2.2000000000000002</v>
      </c>
      <c r="F309">
        <v>1</v>
      </c>
      <c r="G309">
        <v>25</v>
      </c>
      <c r="H309">
        <v>0</v>
      </c>
      <c r="I309">
        <v>0</v>
      </c>
      <c r="J309">
        <v>0</v>
      </c>
      <c r="K309" s="11" t="str">
        <f>VLOOKUP(materials[[#This Row],[Column1.projectId]],projects[],2,FALSE)</f>
        <v>Paraseal</v>
      </c>
    </row>
    <row r="310" spans="1:11" x14ac:dyDescent="0.45">
      <c r="A310">
        <v>9</v>
      </c>
      <c r="B310">
        <v>314</v>
      </c>
      <c r="C310" t="s">
        <v>247</v>
      </c>
      <c r="D310">
        <v>1200</v>
      </c>
      <c r="E310">
        <v>96.98</v>
      </c>
      <c r="F310">
        <v>40</v>
      </c>
      <c r="G310">
        <v>86.25</v>
      </c>
      <c r="H310">
        <v>86.25</v>
      </c>
      <c r="I310">
        <v>64.6875</v>
      </c>
      <c r="J310">
        <v>4</v>
      </c>
      <c r="K310" s="11" t="str">
        <f>VLOOKUP(materials[[#This Row],[Column1.projectId]],projects[],2,FALSE)</f>
        <v>201</v>
      </c>
    </row>
    <row r="311" spans="1:11" x14ac:dyDescent="0.45">
      <c r="A311">
        <v>9</v>
      </c>
      <c r="B311">
        <v>315</v>
      </c>
      <c r="C311" t="s">
        <v>248</v>
      </c>
      <c r="D311">
        <v>1050</v>
      </c>
      <c r="E311">
        <v>251.28</v>
      </c>
      <c r="F311">
        <v>40</v>
      </c>
      <c r="G311">
        <v>360</v>
      </c>
      <c r="H311">
        <v>300</v>
      </c>
      <c r="I311">
        <v>300</v>
      </c>
      <c r="J311">
        <v>2</v>
      </c>
      <c r="K311" s="11" t="str">
        <f>VLOOKUP(materials[[#This Row],[Column1.projectId]],projects[],2,FALSE)</f>
        <v>201</v>
      </c>
    </row>
    <row r="312" spans="1:11" x14ac:dyDescent="0.45">
      <c r="A312">
        <v>9</v>
      </c>
      <c r="B312">
        <v>316</v>
      </c>
      <c r="C312" t="s">
        <v>249</v>
      </c>
      <c r="D312">
        <v>1200</v>
      </c>
      <c r="E312">
        <v>96.98</v>
      </c>
      <c r="F312">
        <v>2</v>
      </c>
      <c r="G312">
        <v>250</v>
      </c>
      <c r="H312">
        <v>250</v>
      </c>
      <c r="I312">
        <v>187.5</v>
      </c>
      <c r="J312">
        <v>0</v>
      </c>
      <c r="K312" s="11" t="str">
        <f>VLOOKUP(materials[[#This Row],[Column1.projectId]],projects[],2,FALSE)</f>
        <v>201</v>
      </c>
    </row>
    <row r="313" spans="1:11" x14ac:dyDescent="0.45">
      <c r="A313">
        <v>9</v>
      </c>
      <c r="B313">
        <v>317</v>
      </c>
      <c r="C313" t="s">
        <v>250</v>
      </c>
      <c r="D313">
        <v>110</v>
      </c>
      <c r="E313">
        <v>138.72999999999999</v>
      </c>
      <c r="F313">
        <v>40</v>
      </c>
      <c r="G313">
        <v>75</v>
      </c>
      <c r="H313">
        <v>0</v>
      </c>
      <c r="I313">
        <v>16.2</v>
      </c>
      <c r="J313">
        <v>8</v>
      </c>
      <c r="K313" s="11" t="str">
        <f>VLOOKUP(materials[[#This Row],[Column1.projectId]],projects[],2,FALSE)</f>
        <v>201</v>
      </c>
    </row>
    <row r="314" spans="1:11" x14ac:dyDescent="0.45">
      <c r="A314">
        <v>9</v>
      </c>
      <c r="B314">
        <v>318</v>
      </c>
      <c r="C314" t="s">
        <v>251</v>
      </c>
      <c r="D314">
        <v>110</v>
      </c>
      <c r="E314">
        <v>138.72999999999999</v>
      </c>
      <c r="F314">
        <v>40</v>
      </c>
      <c r="G314">
        <v>0</v>
      </c>
      <c r="H314">
        <v>60</v>
      </c>
      <c r="I314">
        <v>16.2</v>
      </c>
      <c r="J314">
        <v>8</v>
      </c>
      <c r="K314" s="11" t="str">
        <f>VLOOKUP(materials[[#This Row],[Column1.projectId]],projects[],2,FALSE)</f>
        <v>201</v>
      </c>
    </row>
    <row r="315" spans="1:11" x14ac:dyDescent="0.45">
      <c r="A315">
        <v>9</v>
      </c>
      <c r="B315">
        <v>319</v>
      </c>
      <c r="C315" t="s">
        <v>252</v>
      </c>
      <c r="D315">
        <v>110</v>
      </c>
      <c r="E315">
        <v>113.38</v>
      </c>
      <c r="F315">
        <v>40</v>
      </c>
      <c r="G315">
        <v>75</v>
      </c>
      <c r="H315">
        <v>0</v>
      </c>
      <c r="I315">
        <v>16.2</v>
      </c>
      <c r="J315">
        <v>8</v>
      </c>
      <c r="K315" s="11" t="str">
        <f>VLOOKUP(materials[[#This Row],[Column1.projectId]],projects[],2,FALSE)</f>
        <v>201</v>
      </c>
    </row>
    <row r="316" spans="1:11" x14ac:dyDescent="0.45">
      <c r="A316">
        <v>9</v>
      </c>
      <c r="B316">
        <v>320</v>
      </c>
      <c r="C316" t="s">
        <v>253</v>
      </c>
      <c r="D316">
        <v>110</v>
      </c>
      <c r="E316">
        <v>113.38</v>
      </c>
      <c r="F316">
        <v>40</v>
      </c>
      <c r="G316">
        <v>0</v>
      </c>
      <c r="H316">
        <v>60</v>
      </c>
      <c r="I316">
        <v>16.2</v>
      </c>
      <c r="J316">
        <v>8</v>
      </c>
      <c r="K316" s="11" t="str">
        <f>VLOOKUP(materials[[#This Row],[Column1.projectId]],projects[],2,FALSE)</f>
        <v>201</v>
      </c>
    </row>
    <row r="317" spans="1:11" x14ac:dyDescent="0.45">
      <c r="A317">
        <v>9</v>
      </c>
      <c r="B317">
        <v>321</v>
      </c>
      <c r="C317" t="s">
        <v>254</v>
      </c>
      <c r="D317">
        <v>30</v>
      </c>
      <c r="E317">
        <v>7.74</v>
      </c>
      <c r="F317">
        <v>40</v>
      </c>
      <c r="G317">
        <v>0</v>
      </c>
      <c r="H317">
        <v>24</v>
      </c>
      <c r="I317">
        <v>0</v>
      </c>
      <c r="J317">
        <v>6</v>
      </c>
      <c r="K317" s="11" t="str">
        <f>VLOOKUP(materials[[#This Row],[Column1.projectId]],projects[],2,FALSE)</f>
        <v>201</v>
      </c>
    </row>
    <row r="318" spans="1:11" x14ac:dyDescent="0.45">
      <c r="A318">
        <v>9</v>
      </c>
      <c r="B318">
        <v>322</v>
      </c>
      <c r="C318" t="s">
        <v>255</v>
      </c>
      <c r="D318">
        <v>1091</v>
      </c>
      <c r="E318">
        <v>254.93</v>
      </c>
      <c r="F318">
        <v>53</v>
      </c>
      <c r="G318">
        <v>0</v>
      </c>
      <c r="H318">
        <v>200</v>
      </c>
      <c r="I318">
        <v>0</v>
      </c>
      <c r="J318">
        <v>0</v>
      </c>
      <c r="K318" s="11" t="str">
        <f>VLOOKUP(materials[[#This Row],[Column1.projectId]],projects[],2,FALSE)</f>
        <v>201</v>
      </c>
    </row>
    <row r="319" spans="1:11" x14ac:dyDescent="0.45">
      <c r="A319">
        <v>9</v>
      </c>
      <c r="B319">
        <v>323</v>
      </c>
      <c r="C319" t="s">
        <v>256</v>
      </c>
      <c r="D319">
        <v>1091</v>
      </c>
      <c r="E319">
        <v>254.93</v>
      </c>
      <c r="F319">
        <v>53</v>
      </c>
      <c r="G319">
        <v>200</v>
      </c>
      <c r="H319">
        <v>200</v>
      </c>
      <c r="I319">
        <v>0</v>
      </c>
      <c r="J319">
        <v>0</v>
      </c>
      <c r="K319" s="11" t="str">
        <f>VLOOKUP(materials[[#This Row],[Column1.projectId]],projects[],2,FALSE)</f>
        <v>201</v>
      </c>
    </row>
    <row r="320" spans="1:11" x14ac:dyDescent="0.45">
      <c r="A320">
        <v>9</v>
      </c>
      <c r="B320">
        <v>324</v>
      </c>
      <c r="C320" t="s">
        <v>257</v>
      </c>
      <c r="D320">
        <v>150</v>
      </c>
      <c r="E320">
        <v>18.059999999999999</v>
      </c>
      <c r="F320">
        <v>0.5</v>
      </c>
      <c r="G320">
        <v>100</v>
      </c>
      <c r="H320">
        <v>0</v>
      </c>
      <c r="I320">
        <v>90</v>
      </c>
      <c r="J320">
        <v>2</v>
      </c>
      <c r="K320" s="11" t="str">
        <f>VLOOKUP(materials[[#This Row],[Column1.projectId]],projects[],2,FALSE)</f>
        <v>201</v>
      </c>
    </row>
    <row r="321" spans="1:11" x14ac:dyDescent="0.45">
      <c r="A321">
        <v>9</v>
      </c>
      <c r="B321">
        <v>325</v>
      </c>
      <c r="C321" t="s">
        <v>258</v>
      </c>
      <c r="D321">
        <v>30</v>
      </c>
      <c r="E321">
        <v>7.74</v>
      </c>
      <c r="F321">
        <v>0</v>
      </c>
      <c r="G321">
        <v>0</v>
      </c>
      <c r="H321">
        <v>0</v>
      </c>
      <c r="I321">
        <v>0</v>
      </c>
      <c r="J321">
        <v>0</v>
      </c>
      <c r="K321" s="11" t="str">
        <f>VLOOKUP(materials[[#This Row],[Column1.projectId]],projects[],2,FALSE)</f>
        <v>201</v>
      </c>
    </row>
    <row r="322" spans="1:11" x14ac:dyDescent="0.45">
      <c r="A322">
        <v>9</v>
      </c>
      <c r="B322">
        <v>326</v>
      </c>
      <c r="C322" t="s">
        <v>259</v>
      </c>
      <c r="D322">
        <v>150</v>
      </c>
      <c r="E322">
        <v>18.059999999999999</v>
      </c>
      <c r="F322">
        <v>0.5</v>
      </c>
      <c r="G322">
        <v>100</v>
      </c>
      <c r="H322">
        <v>0</v>
      </c>
      <c r="I322">
        <v>60</v>
      </c>
      <c r="J322">
        <v>2</v>
      </c>
      <c r="K322" s="11" t="str">
        <f>VLOOKUP(materials[[#This Row],[Column1.projectId]],projects[],2,FALSE)</f>
        <v>201</v>
      </c>
    </row>
    <row r="323" spans="1:11" x14ac:dyDescent="0.45">
      <c r="A323">
        <v>9</v>
      </c>
      <c r="B323">
        <v>327</v>
      </c>
      <c r="C323" t="s">
        <v>260</v>
      </c>
      <c r="D323">
        <v>30</v>
      </c>
      <c r="E323">
        <v>7.74</v>
      </c>
      <c r="F323">
        <v>0</v>
      </c>
      <c r="G323">
        <v>0</v>
      </c>
      <c r="H323">
        <v>0</v>
      </c>
      <c r="I323">
        <v>0</v>
      </c>
      <c r="J323">
        <v>0</v>
      </c>
      <c r="K323" s="11" t="str">
        <f>VLOOKUP(materials[[#This Row],[Column1.projectId]],projects[],2,FALSE)</f>
        <v>201</v>
      </c>
    </row>
    <row r="324" spans="1:11" x14ac:dyDescent="0.45">
      <c r="A324">
        <v>9</v>
      </c>
      <c r="B324">
        <v>328</v>
      </c>
      <c r="C324" t="s">
        <v>242</v>
      </c>
      <c r="D324">
        <v>607</v>
      </c>
      <c r="E324">
        <v>259</v>
      </c>
      <c r="F324">
        <v>60</v>
      </c>
      <c r="G324">
        <v>300</v>
      </c>
      <c r="H324">
        <v>0</v>
      </c>
      <c r="I324">
        <v>160</v>
      </c>
      <c r="J324">
        <v>4</v>
      </c>
      <c r="K324" s="11" t="str">
        <f>VLOOKUP(materials[[#This Row],[Column1.projectId]],projects[],2,FALSE)</f>
        <v>201</v>
      </c>
    </row>
    <row r="325" spans="1:11" x14ac:dyDescent="0.45">
      <c r="A325">
        <v>9</v>
      </c>
      <c r="B325">
        <v>329</v>
      </c>
      <c r="C325" t="s">
        <v>243</v>
      </c>
      <c r="D325">
        <v>200</v>
      </c>
      <c r="E325">
        <v>74.97</v>
      </c>
      <c r="F325">
        <v>30</v>
      </c>
      <c r="G325">
        <v>250</v>
      </c>
      <c r="H325">
        <v>200</v>
      </c>
      <c r="I325">
        <v>0</v>
      </c>
      <c r="J325">
        <v>4</v>
      </c>
      <c r="K325" s="11" t="str">
        <f>VLOOKUP(materials[[#This Row],[Column1.projectId]],projects[],2,FALSE)</f>
        <v>201</v>
      </c>
    </row>
    <row r="326" spans="1:11" x14ac:dyDescent="0.45">
      <c r="A326">
        <v>9</v>
      </c>
      <c r="B326">
        <v>330</v>
      </c>
      <c r="C326" t="s">
        <v>211</v>
      </c>
      <c r="D326">
        <v>182</v>
      </c>
      <c r="E326">
        <v>139.68</v>
      </c>
      <c r="F326">
        <v>75</v>
      </c>
      <c r="G326">
        <v>0</v>
      </c>
      <c r="H326">
        <v>120</v>
      </c>
      <c r="I326">
        <v>0</v>
      </c>
      <c r="J326">
        <v>4</v>
      </c>
      <c r="K326" s="11" t="str">
        <f>VLOOKUP(materials[[#This Row],[Column1.projectId]],projects[],2,FALSE)</f>
        <v>201</v>
      </c>
    </row>
    <row r="327" spans="1:11" x14ac:dyDescent="0.45">
      <c r="A327">
        <v>9</v>
      </c>
      <c r="B327">
        <v>331</v>
      </c>
      <c r="C327" t="s">
        <v>261</v>
      </c>
      <c r="D327">
        <v>1800</v>
      </c>
      <c r="E327">
        <v>209.05</v>
      </c>
      <c r="F327">
        <v>40</v>
      </c>
      <c r="G327">
        <v>0</v>
      </c>
      <c r="H327">
        <v>600</v>
      </c>
      <c r="I327">
        <v>0</v>
      </c>
      <c r="J327">
        <v>0</v>
      </c>
      <c r="K327" s="11" t="str">
        <f>VLOOKUP(materials[[#This Row],[Column1.projectId]],projects[],2,FALSE)</f>
        <v>201</v>
      </c>
    </row>
    <row r="328" spans="1:11" x14ac:dyDescent="0.45">
      <c r="A328">
        <v>9</v>
      </c>
      <c r="B328">
        <v>332</v>
      </c>
      <c r="C328" t="s">
        <v>244</v>
      </c>
      <c r="D328">
        <v>182</v>
      </c>
      <c r="E328">
        <v>139.68</v>
      </c>
      <c r="F328">
        <v>75</v>
      </c>
      <c r="G328">
        <v>300</v>
      </c>
      <c r="H328">
        <v>120</v>
      </c>
      <c r="I328">
        <v>160</v>
      </c>
      <c r="J328">
        <v>4</v>
      </c>
      <c r="K328" s="11" t="str">
        <f>VLOOKUP(materials[[#This Row],[Column1.projectId]],projects[],2,FALSE)</f>
        <v>201</v>
      </c>
    </row>
    <row r="329" spans="1:11" x14ac:dyDescent="0.45">
      <c r="A329">
        <v>9</v>
      </c>
      <c r="B329">
        <v>333</v>
      </c>
      <c r="C329" t="s">
        <v>262</v>
      </c>
      <c r="D329">
        <v>0</v>
      </c>
      <c r="E329">
        <v>2.1800000000000002</v>
      </c>
      <c r="F329">
        <v>0.2</v>
      </c>
      <c r="G329">
        <v>0</v>
      </c>
      <c r="H329">
        <v>15</v>
      </c>
      <c r="I329">
        <v>0</v>
      </c>
      <c r="J329">
        <v>2</v>
      </c>
      <c r="K329" s="11" t="str">
        <f>VLOOKUP(materials[[#This Row],[Column1.projectId]],projects[],2,FALSE)</f>
        <v>201</v>
      </c>
    </row>
    <row r="330" spans="1:11" x14ac:dyDescent="0.45">
      <c r="A330">
        <v>9</v>
      </c>
      <c r="B330">
        <v>334</v>
      </c>
      <c r="C330" t="s">
        <v>263</v>
      </c>
      <c r="D330">
        <v>0</v>
      </c>
      <c r="E330">
        <v>1.35</v>
      </c>
      <c r="F330">
        <v>0.25</v>
      </c>
      <c r="G330">
        <v>0</v>
      </c>
      <c r="H330">
        <v>50</v>
      </c>
      <c r="I330">
        <v>0</v>
      </c>
      <c r="J330">
        <v>2</v>
      </c>
      <c r="K330" s="11" t="str">
        <f>VLOOKUP(materials[[#This Row],[Column1.projectId]],projects[],2,FALSE)</f>
        <v>201</v>
      </c>
    </row>
    <row r="331" spans="1:11" x14ac:dyDescent="0.45">
      <c r="A331">
        <v>9</v>
      </c>
      <c r="B331">
        <v>335</v>
      </c>
      <c r="C331" t="s">
        <v>264</v>
      </c>
      <c r="D331">
        <v>0</v>
      </c>
      <c r="E331">
        <v>8.5299999999999994</v>
      </c>
      <c r="F331">
        <v>0.25</v>
      </c>
      <c r="G331">
        <v>0</v>
      </c>
      <c r="H331">
        <v>6</v>
      </c>
      <c r="I331">
        <v>0</v>
      </c>
      <c r="J331">
        <v>2</v>
      </c>
      <c r="K331" s="11" t="str">
        <f>VLOOKUP(materials[[#This Row],[Column1.projectId]],projects[],2,FALSE)</f>
        <v>201</v>
      </c>
    </row>
    <row r="332" spans="1:11" x14ac:dyDescent="0.45">
      <c r="A332">
        <v>9</v>
      </c>
      <c r="B332">
        <v>336</v>
      </c>
      <c r="C332" t="s">
        <v>245</v>
      </c>
      <c r="D332">
        <v>0</v>
      </c>
      <c r="E332">
        <v>30.27</v>
      </c>
      <c r="F332">
        <v>0</v>
      </c>
      <c r="G332">
        <v>0</v>
      </c>
      <c r="H332">
        <v>0</v>
      </c>
      <c r="I332">
        <v>0</v>
      </c>
      <c r="J332">
        <v>0</v>
      </c>
      <c r="K332" s="11" t="str">
        <f>VLOOKUP(materials[[#This Row],[Column1.projectId]],projects[],2,FALSE)</f>
        <v>201</v>
      </c>
    </row>
    <row r="333" spans="1:11" x14ac:dyDescent="0.45">
      <c r="A333">
        <v>9</v>
      </c>
      <c r="B333">
        <v>337</v>
      </c>
      <c r="C333" t="s">
        <v>265</v>
      </c>
      <c r="D333">
        <v>0</v>
      </c>
      <c r="E333">
        <v>3.4849999999999999</v>
      </c>
      <c r="F333">
        <v>0.15</v>
      </c>
      <c r="G333">
        <v>0</v>
      </c>
      <c r="H333">
        <v>17</v>
      </c>
      <c r="I333">
        <v>0</v>
      </c>
      <c r="J333">
        <v>0</v>
      </c>
      <c r="K333" s="11" t="str">
        <f>VLOOKUP(materials[[#This Row],[Column1.projectId]],projects[],2,FALSE)</f>
        <v>201</v>
      </c>
    </row>
    <row r="334" spans="1:11" x14ac:dyDescent="0.45">
      <c r="A334">
        <v>9</v>
      </c>
      <c r="B334">
        <v>338</v>
      </c>
      <c r="C334" t="s">
        <v>266</v>
      </c>
      <c r="D334">
        <v>220</v>
      </c>
      <c r="E334">
        <v>113.38</v>
      </c>
      <c r="F334">
        <v>40</v>
      </c>
      <c r="G334">
        <v>180</v>
      </c>
      <c r="H334">
        <v>0</v>
      </c>
      <c r="I334">
        <v>0</v>
      </c>
      <c r="J334">
        <v>4</v>
      </c>
      <c r="K334" s="11" t="str">
        <f>VLOOKUP(materials[[#This Row],[Column1.projectId]],projects[],2,FALSE)</f>
        <v>201</v>
      </c>
    </row>
    <row r="335" spans="1:11" x14ac:dyDescent="0.45">
      <c r="A335">
        <v>9</v>
      </c>
      <c r="B335">
        <v>339</v>
      </c>
      <c r="C335" t="s">
        <v>267</v>
      </c>
      <c r="D335">
        <v>220</v>
      </c>
      <c r="E335">
        <v>113.38</v>
      </c>
      <c r="F335">
        <v>40</v>
      </c>
      <c r="G335">
        <v>0</v>
      </c>
      <c r="H335">
        <v>105</v>
      </c>
      <c r="I335">
        <v>48.6</v>
      </c>
      <c r="J335">
        <v>4</v>
      </c>
      <c r="K335" s="11" t="str">
        <f>VLOOKUP(materials[[#This Row],[Column1.projectId]],projects[],2,FALSE)</f>
        <v>201</v>
      </c>
    </row>
    <row r="336" spans="1:11" x14ac:dyDescent="0.45">
      <c r="A336">
        <v>9</v>
      </c>
      <c r="B336">
        <v>340</v>
      </c>
      <c r="C336" t="s">
        <v>268</v>
      </c>
      <c r="D336">
        <v>220</v>
      </c>
      <c r="E336">
        <v>113.38</v>
      </c>
      <c r="F336">
        <v>40</v>
      </c>
      <c r="G336">
        <v>180</v>
      </c>
      <c r="H336">
        <v>0</v>
      </c>
      <c r="I336">
        <v>0</v>
      </c>
      <c r="J336">
        <v>4</v>
      </c>
      <c r="K336" s="11" t="str">
        <f>VLOOKUP(materials[[#This Row],[Column1.projectId]],projects[],2,FALSE)</f>
        <v>201</v>
      </c>
    </row>
    <row r="337" spans="1:11" x14ac:dyDescent="0.45">
      <c r="A337">
        <v>9</v>
      </c>
      <c r="B337">
        <v>341</v>
      </c>
      <c r="C337" t="s">
        <v>269</v>
      </c>
      <c r="D337">
        <v>220</v>
      </c>
      <c r="E337">
        <v>113.38</v>
      </c>
      <c r="F337">
        <v>40</v>
      </c>
      <c r="G337">
        <v>0</v>
      </c>
      <c r="H337">
        <v>105</v>
      </c>
      <c r="I337">
        <v>48.6</v>
      </c>
      <c r="J337">
        <v>4</v>
      </c>
      <c r="K337" s="11" t="str">
        <f>VLOOKUP(materials[[#This Row],[Column1.projectId]],projects[],2,FALSE)</f>
        <v>201</v>
      </c>
    </row>
    <row r="338" spans="1:11" x14ac:dyDescent="0.45">
      <c r="A338">
        <v>9</v>
      </c>
      <c r="B338">
        <v>342</v>
      </c>
      <c r="C338" t="s">
        <v>76</v>
      </c>
      <c r="D338">
        <v>1</v>
      </c>
      <c r="E338">
        <v>65</v>
      </c>
      <c r="F338">
        <v>0</v>
      </c>
      <c r="G338">
        <v>10.3</v>
      </c>
      <c r="H338">
        <v>0</v>
      </c>
      <c r="I338">
        <v>0</v>
      </c>
      <c r="J338">
        <v>4</v>
      </c>
      <c r="K338" s="11" t="str">
        <f>VLOOKUP(materials[[#This Row],[Column1.projectId]],projects[],2,FALSE)</f>
        <v>201</v>
      </c>
    </row>
    <row r="339" spans="1:11" x14ac:dyDescent="0.45">
      <c r="A339">
        <v>9</v>
      </c>
      <c r="B339">
        <v>343</v>
      </c>
      <c r="C339" t="s">
        <v>57</v>
      </c>
      <c r="D339">
        <v>1</v>
      </c>
      <c r="E339">
        <v>3.9375</v>
      </c>
      <c r="F339">
        <v>0</v>
      </c>
      <c r="G339">
        <v>1.8</v>
      </c>
      <c r="H339">
        <v>0</v>
      </c>
      <c r="I339">
        <v>0</v>
      </c>
      <c r="J339">
        <v>15</v>
      </c>
      <c r="K339" s="11" t="str">
        <f>VLOOKUP(materials[[#This Row],[Column1.projectId]],projects[],2,FALSE)</f>
        <v>201</v>
      </c>
    </row>
    <row r="340" spans="1:11" x14ac:dyDescent="0.45">
      <c r="A340">
        <v>9</v>
      </c>
      <c r="B340">
        <v>344</v>
      </c>
      <c r="C340" t="s">
        <v>270</v>
      </c>
      <c r="D340">
        <v>50</v>
      </c>
      <c r="E340">
        <v>2.0910000000000002</v>
      </c>
      <c r="F340">
        <v>0</v>
      </c>
      <c r="G340">
        <v>0</v>
      </c>
      <c r="H340">
        <v>65</v>
      </c>
      <c r="I340">
        <v>0</v>
      </c>
      <c r="J340">
        <v>4</v>
      </c>
      <c r="K340" s="11" t="str">
        <f>VLOOKUP(materials[[#This Row],[Column1.projectId]],projects[],2,FALSE)</f>
        <v>201</v>
      </c>
    </row>
    <row r="341" spans="1:11" x14ac:dyDescent="0.45">
      <c r="A341">
        <v>10</v>
      </c>
      <c r="B341">
        <v>345</v>
      </c>
      <c r="C341" t="s">
        <v>247</v>
      </c>
      <c r="D341">
        <v>1200</v>
      </c>
      <c r="E341">
        <v>96.98</v>
      </c>
      <c r="F341">
        <v>40</v>
      </c>
      <c r="G341">
        <v>86.25</v>
      </c>
      <c r="H341">
        <v>86.25</v>
      </c>
      <c r="I341">
        <v>64.6875</v>
      </c>
      <c r="J341">
        <v>4</v>
      </c>
      <c r="K341" s="11" t="str">
        <f>VLOOKUP(materials[[#This Row],[Column1.projectId]],projects[],2,FALSE)</f>
        <v>250 GC</v>
      </c>
    </row>
    <row r="342" spans="1:11" x14ac:dyDescent="0.45">
      <c r="A342">
        <v>10</v>
      </c>
      <c r="B342">
        <v>346</v>
      </c>
      <c r="C342" t="s">
        <v>248</v>
      </c>
      <c r="D342">
        <v>1050</v>
      </c>
      <c r="E342">
        <v>235.05</v>
      </c>
      <c r="F342">
        <v>40</v>
      </c>
      <c r="G342">
        <v>360</v>
      </c>
      <c r="H342">
        <v>300</v>
      </c>
      <c r="I342">
        <v>300</v>
      </c>
      <c r="J342">
        <v>2</v>
      </c>
      <c r="K342" s="11" t="str">
        <f>VLOOKUP(materials[[#This Row],[Column1.projectId]],projects[],2,FALSE)</f>
        <v>250 GC</v>
      </c>
    </row>
    <row r="343" spans="1:11" x14ac:dyDescent="0.45">
      <c r="A343">
        <v>10</v>
      </c>
      <c r="B343">
        <v>347</v>
      </c>
      <c r="C343" t="s">
        <v>249</v>
      </c>
      <c r="D343">
        <v>1200</v>
      </c>
      <c r="E343">
        <v>96.98</v>
      </c>
      <c r="F343">
        <v>2</v>
      </c>
      <c r="G343">
        <v>250</v>
      </c>
      <c r="H343">
        <v>250</v>
      </c>
      <c r="I343">
        <v>187.5</v>
      </c>
      <c r="J343">
        <v>0</v>
      </c>
      <c r="K343" s="11" t="str">
        <f>VLOOKUP(materials[[#This Row],[Column1.projectId]],projects[],2,FALSE)</f>
        <v>250 GC</v>
      </c>
    </row>
    <row r="344" spans="1:11" x14ac:dyDescent="0.45">
      <c r="A344">
        <v>10</v>
      </c>
      <c r="B344">
        <v>348</v>
      </c>
      <c r="C344" t="s">
        <v>250</v>
      </c>
      <c r="D344">
        <v>110</v>
      </c>
      <c r="E344">
        <v>138.72999999999999</v>
      </c>
      <c r="F344">
        <v>40</v>
      </c>
      <c r="G344">
        <v>75</v>
      </c>
      <c r="H344">
        <v>0</v>
      </c>
      <c r="I344">
        <v>16.2</v>
      </c>
      <c r="J344">
        <v>8</v>
      </c>
      <c r="K344" s="11" t="str">
        <f>VLOOKUP(materials[[#This Row],[Column1.projectId]],projects[],2,FALSE)</f>
        <v>250 GC</v>
      </c>
    </row>
    <row r="345" spans="1:11" x14ac:dyDescent="0.45">
      <c r="A345">
        <v>10</v>
      </c>
      <c r="B345">
        <v>349</v>
      </c>
      <c r="C345" t="s">
        <v>251</v>
      </c>
      <c r="D345">
        <v>110</v>
      </c>
      <c r="E345">
        <v>138.72999999999999</v>
      </c>
      <c r="F345">
        <v>40</v>
      </c>
      <c r="G345">
        <v>0</v>
      </c>
      <c r="H345">
        <v>60</v>
      </c>
      <c r="I345">
        <v>16.2</v>
      </c>
      <c r="J345">
        <v>8</v>
      </c>
      <c r="K345" s="11" t="str">
        <f>VLOOKUP(materials[[#This Row],[Column1.projectId]],projects[],2,FALSE)</f>
        <v>250 GC</v>
      </c>
    </row>
    <row r="346" spans="1:11" x14ac:dyDescent="0.45">
      <c r="A346">
        <v>10</v>
      </c>
      <c r="B346">
        <v>350</v>
      </c>
      <c r="C346" t="s">
        <v>252</v>
      </c>
      <c r="D346">
        <v>110</v>
      </c>
      <c r="E346">
        <v>113.38</v>
      </c>
      <c r="F346">
        <v>40</v>
      </c>
      <c r="G346">
        <v>75</v>
      </c>
      <c r="H346">
        <v>0</v>
      </c>
      <c r="I346">
        <v>16.2</v>
      </c>
      <c r="J346">
        <v>8</v>
      </c>
      <c r="K346" s="11" t="str">
        <f>VLOOKUP(materials[[#This Row],[Column1.projectId]],projects[],2,FALSE)</f>
        <v>250 GC</v>
      </c>
    </row>
    <row r="347" spans="1:11" x14ac:dyDescent="0.45">
      <c r="A347">
        <v>10</v>
      </c>
      <c r="B347">
        <v>351</v>
      </c>
      <c r="C347" t="s">
        <v>253</v>
      </c>
      <c r="D347">
        <v>110</v>
      </c>
      <c r="E347">
        <v>113.38</v>
      </c>
      <c r="F347">
        <v>40</v>
      </c>
      <c r="G347">
        <v>0</v>
      </c>
      <c r="H347">
        <v>60</v>
      </c>
      <c r="I347">
        <v>16.2</v>
      </c>
      <c r="J347">
        <v>8</v>
      </c>
      <c r="K347" s="11" t="str">
        <f>VLOOKUP(materials[[#This Row],[Column1.projectId]],projects[],2,FALSE)</f>
        <v>250 GC</v>
      </c>
    </row>
    <row r="348" spans="1:11" x14ac:dyDescent="0.45">
      <c r="A348">
        <v>10</v>
      </c>
      <c r="B348">
        <v>352</v>
      </c>
      <c r="C348" t="s">
        <v>254</v>
      </c>
      <c r="D348">
        <v>30</v>
      </c>
      <c r="E348">
        <v>7.74</v>
      </c>
      <c r="F348">
        <v>40</v>
      </c>
      <c r="G348">
        <v>0</v>
      </c>
      <c r="H348">
        <v>24</v>
      </c>
      <c r="I348">
        <v>0</v>
      </c>
      <c r="J348">
        <v>6</v>
      </c>
      <c r="K348" s="11" t="str">
        <f>VLOOKUP(materials[[#This Row],[Column1.projectId]],projects[],2,FALSE)</f>
        <v>250 GC</v>
      </c>
    </row>
    <row r="349" spans="1:11" x14ac:dyDescent="0.45">
      <c r="A349">
        <v>10</v>
      </c>
      <c r="B349">
        <v>353</v>
      </c>
      <c r="C349" t="s">
        <v>255</v>
      </c>
      <c r="D349">
        <v>1091</v>
      </c>
      <c r="E349">
        <v>254.93</v>
      </c>
      <c r="F349">
        <v>53</v>
      </c>
      <c r="G349">
        <v>0</v>
      </c>
      <c r="H349">
        <v>200</v>
      </c>
      <c r="I349">
        <v>0</v>
      </c>
      <c r="J349">
        <v>0</v>
      </c>
      <c r="K349" s="11" t="str">
        <f>VLOOKUP(materials[[#This Row],[Column1.projectId]],projects[],2,FALSE)</f>
        <v>250 GC</v>
      </c>
    </row>
    <row r="350" spans="1:11" x14ac:dyDescent="0.45">
      <c r="A350">
        <v>10</v>
      </c>
      <c r="B350">
        <v>354</v>
      </c>
      <c r="C350" t="s">
        <v>256</v>
      </c>
      <c r="D350">
        <v>1091</v>
      </c>
      <c r="E350">
        <v>254.93</v>
      </c>
      <c r="F350">
        <v>53</v>
      </c>
      <c r="G350">
        <v>200</v>
      </c>
      <c r="H350">
        <v>200</v>
      </c>
      <c r="I350">
        <v>0</v>
      </c>
      <c r="J350">
        <v>0</v>
      </c>
      <c r="K350" s="11" t="str">
        <f>VLOOKUP(materials[[#This Row],[Column1.projectId]],projects[],2,FALSE)</f>
        <v>250 GC</v>
      </c>
    </row>
    <row r="351" spans="1:11" x14ac:dyDescent="0.45">
      <c r="A351">
        <v>10</v>
      </c>
      <c r="B351">
        <v>355</v>
      </c>
      <c r="C351" t="s">
        <v>257</v>
      </c>
      <c r="D351">
        <v>150</v>
      </c>
      <c r="E351">
        <v>18.059999999999999</v>
      </c>
      <c r="F351">
        <v>0.5</v>
      </c>
      <c r="G351">
        <v>100</v>
      </c>
      <c r="H351">
        <v>0</v>
      </c>
      <c r="I351">
        <v>90</v>
      </c>
      <c r="J351">
        <v>2</v>
      </c>
      <c r="K351" s="11" t="str">
        <f>VLOOKUP(materials[[#This Row],[Column1.projectId]],projects[],2,FALSE)</f>
        <v>250 GC</v>
      </c>
    </row>
    <row r="352" spans="1:11" x14ac:dyDescent="0.45">
      <c r="A352">
        <v>10</v>
      </c>
      <c r="B352">
        <v>356</v>
      </c>
      <c r="C352" t="s">
        <v>258</v>
      </c>
      <c r="D352">
        <v>30</v>
      </c>
      <c r="E352">
        <v>7.74</v>
      </c>
      <c r="F352">
        <v>0</v>
      </c>
      <c r="G352">
        <v>0</v>
      </c>
      <c r="H352">
        <v>0</v>
      </c>
      <c r="I352">
        <v>0</v>
      </c>
      <c r="J352">
        <v>0</v>
      </c>
      <c r="K352" s="11" t="str">
        <f>VLOOKUP(materials[[#This Row],[Column1.projectId]],projects[],2,FALSE)</f>
        <v>250 GC</v>
      </c>
    </row>
    <row r="353" spans="1:11" x14ac:dyDescent="0.45">
      <c r="A353">
        <v>10</v>
      </c>
      <c r="B353">
        <v>357</v>
      </c>
      <c r="C353" t="s">
        <v>259</v>
      </c>
      <c r="D353">
        <v>150</v>
      </c>
      <c r="E353">
        <v>18.059999999999999</v>
      </c>
      <c r="F353">
        <v>0.5</v>
      </c>
      <c r="G353">
        <v>100</v>
      </c>
      <c r="H353">
        <v>0</v>
      </c>
      <c r="I353">
        <v>60</v>
      </c>
      <c r="J353">
        <v>2</v>
      </c>
      <c r="K353" s="11" t="str">
        <f>VLOOKUP(materials[[#This Row],[Column1.projectId]],projects[],2,FALSE)</f>
        <v>250 GC</v>
      </c>
    </row>
    <row r="354" spans="1:11" x14ac:dyDescent="0.45">
      <c r="A354">
        <v>10</v>
      </c>
      <c r="B354">
        <v>358</v>
      </c>
      <c r="C354" t="s">
        <v>260</v>
      </c>
      <c r="D354">
        <v>30</v>
      </c>
      <c r="E354">
        <v>7.74</v>
      </c>
      <c r="F354">
        <v>0</v>
      </c>
      <c r="G354">
        <v>0</v>
      </c>
      <c r="H354">
        <v>0</v>
      </c>
      <c r="I354">
        <v>0</v>
      </c>
      <c r="J354">
        <v>0</v>
      </c>
      <c r="K354" s="11" t="str">
        <f>VLOOKUP(materials[[#This Row],[Column1.projectId]],projects[],2,FALSE)</f>
        <v>250 GC</v>
      </c>
    </row>
    <row r="355" spans="1:11" x14ac:dyDescent="0.45">
      <c r="A355">
        <v>10</v>
      </c>
      <c r="B355">
        <v>359</v>
      </c>
      <c r="C355" t="s">
        <v>242</v>
      </c>
      <c r="D355">
        <v>607</v>
      </c>
      <c r="E355">
        <v>259</v>
      </c>
      <c r="F355">
        <v>60</v>
      </c>
      <c r="G355">
        <v>300</v>
      </c>
      <c r="H355">
        <v>0</v>
      </c>
      <c r="I355">
        <v>160</v>
      </c>
      <c r="J355">
        <v>4</v>
      </c>
      <c r="K355" s="11" t="str">
        <f>VLOOKUP(materials[[#This Row],[Column1.projectId]],projects[],2,FALSE)</f>
        <v>250 GC</v>
      </c>
    </row>
    <row r="356" spans="1:11" x14ac:dyDescent="0.45">
      <c r="A356">
        <v>10</v>
      </c>
      <c r="B356">
        <v>360</v>
      </c>
      <c r="C356" t="s">
        <v>243</v>
      </c>
      <c r="D356">
        <v>200</v>
      </c>
      <c r="E356">
        <v>74.97</v>
      </c>
      <c r="F356">
        <v>30</v>
      </c>
      <c r="G356">
        <v>250</v>
      </c>
      <c r="H356">
        <v>200</v>
      </c>
      <c r="I356">
        <v>0</v>
      </c>
      <c r="J356">
        <v>4</v>
      </c>
      <c r="K356" s="11" t="str">
        <f>VLOOKUP(materials[[#This Row],[Column1.projectId]],projects[],2,FALSE)</f>
        <v>250 GC</v>
      </c>
    </row>
    <row r="357" spans="1:11" x14ac:dyDescent="0.45">
      <c r="A357">
        <v>10</v>
      </c>
      <c r="B357">
        <v>361</v>
      </c>
      <c r="C357" t="s">
        <v>211</v>
      </c>
      <c r="D357">
        <v>182</v>
      </c>
      <c r="E357">
        <v>139.68</v>
      </c>
      <c r="F357">
        <v>75</v>
      </c>
      <c r="G357">
        <v>0</v>
      </c>
      <c r="H357">
        <v>120</v>
      </c>
      <c r="I357">
        <v>0</v>
      </c>
      <c r="J357">
        <v>4</v>
      </c>
      <c r="K357" s="11" t="str">
        <f>VLOOKUP(materials[[#This Row],[Column1.projectId]],projects[],2,FALSE)</f>
        <v>250 GC</v>
      </c>
    </row>
    <row r="358" spans="1:11" x14ac:dyDescent="0.45">
      <c r="A358">
        <v>10</v>
      </c>
      <c r="B358">
        <v>362</v>
      </c>
      <c r="C358" t="s">
        <v>261</v>
      </c>
      <c r="D358">
        <v>1800</v>
      </c>
      <c r="E358">
        <v>209.05</v>
      </c>
      <c r="F358">
        <v>40</v>
      </c>
      <c r="G358">
        <v>0</v>
      </c>
      <c r="H358">
        <v>600</v>
      </c>
      <c r="I358">
        <v>0</v>
      </c>
      <c r="J358">
        <v>0</v>
      </c>
      <c r="K358" s="11" t="str">
        <f>VLOOKUP(materials[[#This Row],[Column1.projectId]],projects[],2,FALSE)</f>
        <v>250 GC</v>
      </c>
    </row>
    <row r="359" spans="1:11" x14ac:dyDescent="0.45">
      <c r="A359">
        <v>10</v>
      </c>
      <c r="B359">
        <v>363</v>
      </c>
      <c r="C359" t="s">
        <v>244</v>
      </c>
      <c r="D359">
        <v>182</v>
      </c>
      <c r="E359">
        <v>139.68</v>
      </c>
      <c r="F359">
        <v>75</v>
      </c>
      <c r="G359">
        <v>300</v>
      </c>
      <c r="H359">
        <v>120</v>
      </c>
      <c r="I359">
        <v>160</v>
      </c>
      <c r="J359">
        <v>4</v>
      </c>
      <c r="K359" s="11" t="str">
        <f>VLOOKUP(materials[[#This Row],[Column1.projectId]],projects[],2,FALSE)</f>
        <v>250 GC</v>
      </c>
    </row>
    <row r="360" spans="1:11" x14ac:dyDescent="0.45">
      <c r="A360">
        <v>10</v>
      </c>
      <c r="B360">
        <v>364</v>
      </c>
      <c r="C360" t="s">
        <v>262</v>
      </c>
      <c r="D360">
        <v>0</v>
      </c>
      <c r="E360">
        <v>2.1800000000000002</v>
      </c>
      <c r="F360">
        <v>0.2</v>
      </c>
      <c r="G360">
        <v>0</v>
      </c>
      <c r="H360">
        <v>15</v>
      </c>
      <c r="I360">
        <v>0</v>
      </c>
      <c r="J360">
        <v>2</v>
      </c>
      <c r="K360" s="11" t="str">
        <f>VLOOKUP(materials[[#This Row],[Column1.projectId]],projects[],2,FALSE)</f>
        <v>250 GC</v>
      </c>
    </row>
    <row r="361" spans="1:11" x14ac:dyDescent="0.45">
      <c r="A361">
        <v>10</v>
      </c>
      <c r="B361">
        <v>365</v>
      </c>
      <c r="C361" t="s">
        <v>263</v>
      </c>
      <c r="D361">
        <v>0</v>
      </c>
      <c r="E361">
        <v>1.35</v>
      </c>
      <c r="F361">
        <v>0.25</v>
      </c>
      <c r="G361">
        <v>0</v>
      </c>
      <c r="H361">
        <v>50</v>
      </c>
      <c r="I361">
        <v>0</v>
      </c>
      <c r="J361">
        <v>2</v>
      </c>
      <c r="K361" s="11" t="str">
        <f>VLOOKUP(materials[[#This Row],[Column1.projectId]],projects[],2,FALSE)</f>
        <v>250 GC</v>
      </c>
    </row>
    <row r="362" spans="1:11" x14ac:dyDescent="0.45">
      <c r="A362">
        <v>10</v>
      </c>
      <c r="B362">
        <v>366</v>
      </c>
      <c r="C362" t="s">
        <v>264</v>
      </c>
      <c r="D362">
        <v>0</v>
      </c>
      <c r="E362">
        <v>8.5299999999999994</v>
      </c>
      <c r="F362">
        <v>0.25</v>
      </c>
      <c r="G362">
        <v>0</v>
      </c>
      <c r="H362">
        <v>6</v>
      </c>
      <c r="I362">
        <v>0</v>
      </c>
      <c r="J362">
        <v>2</v>
      </c>
      <c r="K362" s="11" t="str">
        <f>VLOOKUP(materials[[#This Row],[Column1.projectId]],projects[],2,FALSE)</f>
        <v>250 GC</v>
      </c>
    </row>
    <row r="363" spans="1:11" x14ac:dyDescent="0.45">
      <c r="A363">
        <v>10</v>
      </c>
      <c r="B363">
        <v>367</v>
      </c>
      <c r="C363" t="s">
        <v>245</v>
      </c>
      <c r="D363">
        <v>0</v>
      </c>
      <c r="E363">
        <v>30.27</v>
      </c>
      <c r="F363">
        <v>0</v>
      </c>
      <c r="G363">
        <v>0</v>
      </c>
      <c r="H363">
        <v>0</v>
      </c>
      <c r="I363">
        <v>0</v>
      </c>
      <c r="J363">
        <v>0</v>
      </c>
      <c r="K363" s="11" t="str">
        <f>VLOOKUP(materials[[#This Row],[Column1.projectId]],projects[],2,FALSE)</f>
        <v>250 GC</v>
      </c>
    </row>
    <row r="364" spans="1:11" x14ac:dyDescent="0.45">
      <c r="A364">
        <v>10</v>
      </c>
      <c r="B364">
        <v>368</v>
      </c>
      <c r="C364" t="s">
        <v>265</v>
      </c>
      <c r="D364">
        <v>0</v>
      </c>
      <c r="E364">
        <v>3.4849999999999999</v>
      </c>
      <c r="F364">
        <v>0.15</v>
      </c>
      <c r="G364">
        <v>0</v>
      </c>
      <c r="H364">
        <v>17</v>
      </c>
      <c r="I364">
        <v>0</v>
      </c>
      <c r="J364">
        <v>0</v>
      </c>
      <c r="K364" s="11" t="str">
        <f>VLOOKUP(materials[[#This Row],[Column1.projectId]],projects[],2,FALSE)</f>
        <v>250 GC</v>
      </c>
    </row>
    <row r="365" spans="1:11" x14ac:dyDescent="0.45">
      <c r="A365">
        <v>10</v>
      </c>
      <c r="B365">
        <v>369</v>
      </c>
      <c r="C365" t="s">
        <v>271</v>
      </c>
      <c r="D365">
        <v>220</v>
      </c>
      <c r="E365">
        <v>138.72999999999999</v>
      </c>
      <c r="F365">
        <v>40</v>
      </c>
      <c r="G365">
        <v>180</v>
      </c>
      <c r="H365">
        <v>0</v>
      </c>
      <c r="I365">
        <v>0</v>
      </c>
      <c r="J365">
        <v>4</v>
      </c>
      <c r="K365" s="11" t="str">
        <f>VLOOKUP(materials[[#This Row],[Column1.projectId]],projects[],2,FALSE)</f>
        <v>250 GC</v>
      </c>
    </row>
    <row r="366" spans="1:11" x14ac:dyDescent="0.45">
      <c r="A366">
        <v>10</v>
      </c>
      <c r="B366">
        <v>370</v>
      </c>
      <c r="C366" t="s">
        <v>272</v>
      </c>
      <c r="D366">
        <v>220</v>
      </c>
      <c r="E366">
        <v>138.72999999999999</v>
      </c>
      <c r="F366">
        <v>40</v>
      </c>
      <c r="G366">
        <v>0</v>
      </c>
      <c r="H366">
        <v>105</v>
      </c>
      <c r="I366">
        <v>48.6</v>
      </c>
      <c r="J366">
        <v>4</v>
      </c>
      <c r="K366" s="11" t="str">
        <f>VLOOKUP(materials[[#This Row],[Column1.projectId]],projects[],2,FALSE)</f>
        <v>250 GC</v>
      </c>
    </row>
    <row r="367" spans="1:11" x14ac:dyDescent="0.45">
      <c r="A367">
        <v>10</v>
      </c>
      <c r="B367">
        <v>371</v>
      </c>
      <c r="C367" t="s">
        <v>273</v>
      </c>
      <c r="D367">
        <v>220</v>
      </c>
      <c r="E367">
        <v>138.72999999999999</v>
      </c>
      <c r="F367">
        <v>40</v>
      </c>
      <c r="G367">
        <v>180</v>
      </c>
      <c r="H367">
        <v>0</v>
      </c>
      <c r="I367">
        <v>0</v>
      </c>
      <c r="J367">
        <v>4</v>
      </c>
      <c r="K367" s="11" t="str">
        <f>VLOOKUP(materials[[#This Row],[Column1.projectId]],projects[],2,FALSE)</f>
        <v>250 GC</v>
      </c>
    </row>
    <row r="368" spans="1:11" x14ac:dyDescent="0.45">
      <c r="A368">
        <v>10</v>
      </c>
      <c r="B368">
        <v>372</v>
      </c>
      <c r="C368" t="s">
        <v>274</v>
      </c>
      <c r="D368">
        <v>220</v>
      </c>
      <c r="E368">
        <v>138.72999999999999</v>
      </c>
      <c r="F368">
        <v>40</v>
      </c>
      <c r="G368">
        <v>0</v>
      </c>
      <c r="H368">
        <v>105</v>
      </c>
      <c r="I368">
        <v>48.6</v>
      </c>
      <c r="J368">
        <v>4</v>
      </c>
      <c r="K368" s="11" t="str">
        <f>VLOOKUP(materials[[#This Row],[Column1.projectId]],projects[],2,FALSE)</f>
        <v>250 GC</v>
      </c>
    </row>
    <row r="369" spans="1:11" x14ac:dyDescent="0.45">
      <c r="A369">
        <v>10</v>
      </c>
      <c r="B369">
        <v>373</v>
      </c>
      <c r="C369" t="s">
        <v>76</v>
      </c>
      <c r="D369">
        <v>1</v>
      </c>
      <c r="E369">
        <v>65</v>
      </c>
      <c r="F369">
        <v>0</v>
      </c>
      <c r="G369">
        <v>10.3</v>
      </c>
      <c r="H369">
        <v>0</v>
      </c>
      <c r="I369">
        <v>0</v>
      </c>
      <c r="J369">
        <v>4</v>
      </c>
      <c r="K369" s="11" t="str">
        <f>VLOOKUP(materials[[#This Row],[Column1.projectId]],projects[],2,FALSE)</f>
        <v>250 GC</v>
      </c>
    </row>
    <row r="370" spans="1:11" x14ac:dyDescent="0.45">
      <c r="A370">
        <v>10</v>
      </c>
      <c r="B370">
        <v>374</v>
      </c>
      <c r="C370" t="s">
        <v>57</v>
      </c>
      <c r="D370">
        <v>1</v>
      </c>
      <c r="E370">
        <v>3.9375</v>
      </c>
      <c r="F370">
        <v>0</v>
      </c>
      <c r="G370">
        <v>1.8</v>
      </c>
      <c r="H370">
        <v>0</v>
      </c>
      <c r="I370">
        <v>0</v>
      </c>
      <c r="J370">
        <v>15</v>
      </c>
      <c r="K370" s="11" t="str">
        <f>VLOOKUP(materials[[#This Row],[Column1.projectId]],projects[],2,FALSE)</f>
        <v>250 GC</v>
      </c>
    </row>
    <row r="371" spans="1:11" x14ac:dyDescent="0.45">
      <c r="A371">
        <v>10</v>
      </c>
      <c r="B371">
        <v>375</v>
      </c>
      <c r="C371" t="s">
        <v>270</v>
      </c>
      <c r="D371">
        <v>50</v>
      </c>
      <c r="E371">
        <v>2.0910000000000002</v>
      </c>
      <c r="F371">
        <v>0</v>
      </c>
      <c r="G371">
        <v>0</v>
      </c>
      <c r="H371">
        <v>65</v>
      </c>
      <c r="I371">
        <v>0</v>
      </c>
      <c r="J371">
        <v>4</v>
      </c>
      <c r="K371" s="11" t="str">
        <f>VLOOKUP(materials[[#This Row],[Column1.projectId]],projects[],2,FALSE)</f>
        <v>250 GC</v>
      </c>
    </row>
    <row r="372" spans="1:11" x14ac:dyDescent="0.45">
      <c r="A372">
        <v>21</v>
      </c>
      <c r="B372">
        <v>376</v>
      </c>
      <c r="C372" t="s">
        <v>109</v>
      </c>
      <c r="D372">
        <v>18</v>
      </c>
      <c r="E372">
        <v>7</v>
      </c>
      <c r="F372">
        <v>3</v>
      </c>
      <c r="G372">
        <v>120</v>
      </c>
      <c r="H372">
        <v>0</v>
      </c>
      <c r="I372">
        <v>0</v>
      </c>
      <c r="J372">
        <v>0.75</v>
      </c>
      <c r="K372" s="11" t="str">
        <f>VLOOKUP(materials[[#This Row],[Column1.projectId]],projects[],2,FALSE)</f>
        <v>Dexcellent II</v>
      </c>
    </row>
    <row r="373" spans="1:11" x14ac:dyDescent="0.45">
      <c r="A373">
        <v>21</v>
      </c>
      <c r="B373">
        <v>377</v>
      </c>
      <c r="C373" t="s">
        <v>78</v>
      </c>
      <c r="D373">
        <v>600</v>
      </c>
      <c r="E373">
        <v>66.625</v>
      </c>
      <c r="F373">
        <v>1</v>
      </c>
      <c r="G373">
        <v>0</v>
      </c>
      <c r="H373">
        <v>0</v>
      </c>
      <c r="I373">
        <v>0</v>
      </c>
      <c r="J373">
        <v>0</v>
      </c>
      <c r="K373" s="11" t="str">
        <f>VLOOKUP(materials[[#This Row],[Column1.projectId]],projects[],2,FALSE)</f>
        <v>Dexcellent II</v>
      </c>
    </row>
    <row r="374" spans="1:11" x14ac:dyDescent="0.45">
      <c r="A374">
        <v>21</v>
      </c>
      <c r="B374">
        <v>378</v>
      </c>
      <c r="C374" t="s">
        <v>275</v>
      </c>
      <c r="D374">
        <v>200</v>
      </c>
      <c r="E374">
        <v>149.15</v>
      </c>
      <c r="F374">
        <v>55</v>
      </c>
      <c r="G374">
        <v>160</v>
      </c>
      <c r="H374">
        <v>0</v>
      </c>
      <c r="I374">
        <v>0</v>
      </c>
      <c r="J374">
        <v>0.75</v>
      </c>
      <c r="K374" s="11" t="str">
        <f>VLOOKUP(materials[[#This Row],[Column1.projectId]],projects[],2,FALSE)</f>
        <v>Dexcellent II</v>
      </c>
    </row>
    <row r="375" spans="1:11" x14ac:dyDescent="0.45">
      <c r="A375">
        <v>21</v>
      </c>
      <c r="B375">
        <v>379</v>
      </c>
      <c r="C375" t="s">
        <v>276</v>
      </c>
      <c r="D375">
        <v>2000</v>
      </c>
      <c r="E375">
        <v>268.70999999999998</v>
      </c>
      <c r="F375">
        <v>98</v>
      </c>
      <c r="G375">
        <v>160</v>
      </c>
      <c r="H375">
        <v>100</v>
      </c>
      <c r="I375">
        <v>0</v>
      </c>
      <c r="J375">
        <v>0</v>
      </c>
      <c r="K375" s="11" t="str">
        <f>VLOOKUP(materials[[#This Row],[Column1.projectId]],projects[],2,FALSE)</f>
        <v>Dexcellent II</v>
      </c>
    </row>
    <row r="376" spans="1:11" x14ac:dyDescent="0.45">
      <c r="A376">
        <v>21</v>
      </c>
      <c r="B376">
        <v>380</v>
      </c>
      <c r="C376" t="s">
        <v>277</v>
      </c>
      <c r="D376">
        <v>33</v>
      </c>
      <c r="E376">
        <v>10.08</v>
      </c>
      <c r="F376">
        <v>50</v>
      </c>
      <c r="G376">
        <v>180</v>
      </c>
      <c r="H376">
        <v>0</v>
      </c>
      <c r="I376">
        <v>0</v>
      </c>
      <c r="J376">
        <v>0</v>
      </c>
      <c r="K376" s="11" t="str">
        <f>VLOOKUP(materials[[#This Row],[Column1.projectId]],projects[],2,FALSE)</f>
        <v>Dexcellent II</v>
      </c>
    </row>
    <row r="377" spans="1:11" x14ac:dyDescent="0.45">
      <c r="A377">
        <v>21</v>
      </c>
      <c r="B377">
        <v>381</v>
      </c>
      <c r="C377" t="s">
        <v>278</v>
      </c>
      <c r="D377">
        <v>33</v>
      </c>
      <c r="E377">
        <v>15.53</v>
      </c>
      <c r="F377">
        <v>50</v>
      </c>
      <c r="G377">
        <v>180</v>
      </c>
      <c r="H377">
        <v>0</v>
      </c>
      <c r="I377">
        <v>0</v>
      </c>
      <c r="J377">
        <v>0</v>
      </c>
      <c r="K377" s="11" t="str">
        <f>VLOOKUP(materials[[#This Row],[Column1.projectId]],projects[],2,FALSE)</f>
        <v>Dexcellent II</v>
      </c>
    </row>
    <row r="378" spans="1:11" x14ac:dyDescent="0.45">
      <c r="A378">
        <v>21</v>
      </c>
      <c r="B378">
        <v>382</v>
      </c>
      <c r="C378" t="s">
        <v>279</v>
      </c>
      <c r="D378">
        <v>100</v>
      </c>
      <c r="E378">
        <v>15.53</v>
      </c>
      <c r="F378">
        <v>50</v>
      </c>
      <c r="G378">
        <v>100</v>
      </c>
      <c r="H378">
        <v>0</v>
      </c>
      <c r="I378">
        <v>0</v>
      </c>
      <c r="J378">
        <v>0</v>
      </c>
      <c r="K378" s="11" t="str">
        <f>VLOOKUP(materials[[#This Row],[Column1.projectId]],projects[],2,FALSE)</f>
        <v>Dexcellent II</v>
      </c>
    </row>
    <row r="379" spans="1:11" x14ac:dyDescent="0.45">
      <c r="A379">
        <v>21</v>
      </c>
      <c r="B379">
        <v>383</v>
      </c>
      <c r="C379" t="s">
        <v>280</v>
      </c>
      <c r="D379">
        <v>150</v>
      </c>
      <c r="E379">
        <v>15.53</v>
      </c>
      <c r="F379">
        <v>50</v>
      </c>
      <c r="G379">
        <v>120</v>
      </c>
      <c r="H379">
        <v>0</v>
      </c>
      <c r="I379">
        <v>0</v>
      </c>
      <c r="J379">
        <v>0.75</v>
      </c>
      <c r="K379" s="11" t="str">
        <f>VLOOKUP(materials[[#This Row],[Column1.projectId]],projects[],2,FALSE)</f>
        <v>Dexcellent II</v>
      </c>
    </row>
    <row r="380" spans="1:11" x14ac:dyDescent="0.45">
      <c r="A380">
        <v>21</v>
      </c>
      <c r="B380">
        <v>384</v>
      </c>
      <c r="C380" t="s">
        <v>281</v>
      </c>
      <c r="D380">
        <v>0</v>
      </c>
      <c r="E380">
        <v>63.67</v>
      </c>
      <c r="F380">
        <v>55</v>
      </c>
      <c r="G380">
        <v>0</v>
      </c>
      <c r="H380">
        <v>0</v>
      </c>
      <c r="I380">
        <v>0</v>
      </c>
      <c r="J380">
        <v>0</v>
      </c>
      <c r="K380" s="11" t="str">
        <f>VLOOKUP(materials[[#This Row],[Column1.projectId]],projects[],2,FALSE)</f>
        <v>Dexcellent II</v>
      </c>
    </row>
    <row r="381" spans="1:11" x14ac:dyDescent="0.45">
      <c r="A381">
        <v>21</v>
      </c>
      <c r="B381">
        <v>385</v>
      </c>
      <c r="C381" t="s">
        <v>282</v>
      </c>
      <c r="D381">
        <v>45</v>
      </c>
      <c r="E381">
        <v>10.08</v>
      </c>
      <c r="F381">
        <v>50</v>
      </c>
      <c r="G381">
        <v>0</v>
      </c>
      <c r="H381">
        <v>0</v>
      </c>
      <c r="I381">
        <v>30</v>
      </c>
      <c r="J381">
        <v>0</v>
      </c>
      <c r="K381" s="11" t="str">
        <f>VLOOKUP(materials[[#This Row],[Column1.projectId]],projects[],2,FALSE)</f>
        <v>Dexcellent II</v>
      </c>
    </row>
    <row r="382" spans="1:11" x14ac:dyDescent="0.45">
      <c r="A382">
        <v>21</v>
      </c>
      <c r="B382">
        <v>386</v>
      </c>
      <c r="C382" t="s">
        <v>283</v>
      </c>
      <c r="D382">
        <v>45</v>
      </c>
      <c r="E382">
        <v>15.53</v>
      </c>
      <c r="F382">
        <v>50</v>
      </c>
      <c r="G382">
        <v>0</v>
      </c>
      <c r="H382">
        <v>0</v>
      </c>
      <c r="I382">
        <v>30</v>
      </c>
      <c r="J382">
        <v>0</v>
      </c>
      <c r="K382" s="11" t="str">
        <f>VLOOKUP(materials[[#This Row],[Column1.projectId]],projects[],2,FALSE)</f>
        <v>Dexcellent II</v>
      </c>
    </row>
    <row r="383" spans="1:11" x14ac:dyDescent="0.45">
      <c r="A383">
        <v>21</v>
      </c>
      <c r="B383">
        <v>387</v>
      </c>
      <c r="C383" t="s">
        <v>284</v>
      </c>
      <c r="D383">
        <v>0</v>
      </c>
      <c r="E383">
        <v>63.67</v>
      </c>
      <c r="F383">
        <v>55</v>
      </c>
      <c r="G383">
        <v>0</v>
      </c>
      <c r="H383">
        <v>0</v>
      </c>
      <c r="I383">
        <v>0</v>
      </c>
      <c r="J383">
        <v>0</v>
      </c>
      <c r="K383" s="11" t="str">
        <f>VLOOKUP(materials[[#This Row],[Column1.projectId]],projects[],2,FALSE)</f>
        <v>Dexcellent II</v>
      </c>
    </row>
    <row r="384" spans="1:11" x14ac:dyDescent="0.45">
      <c r="A384">
        <v>21</v>
      </c>
      <c r="B384">
        <v>388</v>
      </c>
      <c r="C384" t="s">
        <v>285</v>
      </c>
      <c r="D384">
        <v>150</v>
      </c>
      <c r="E384">
        <v>15.53</v>
      </c>
      <c r="F384">
        <v>50</v>
      </c>
      <c r="G384">
        <v>0</v>
      </c>
      <c r="H384">
        <v>0</v>
      </c>
      <c r="I384">
        <v>30</v>
      </c>
      <c r="J384">
        <v>0</v>
      </c>
      <c r="K384" s="11" t="str">
        <f>VLOOKUP(materials[[#This Row],[Column1.projectId]],projects[],2,FALSE)</f>
        <v>Dexcellent II</v>
      </c>
    </row>
    <row r="385" spans="1:11" x14ac:dyDescent="0.45">
      <c r="A385">
        <v>21</v>
      </c>
      <c r="B385">
        <v>389</v>
      </c>
      <c r="C385" t="s">
        <v>286</v>
      </c>
      <c r="D385">
        <v>800</v>
      </c>
      <c r="E385">
        <v>128.01</v>
      </c>
      <c r="F385">
        <v>55</v>
      </c>
      <c r="G385">
        <v>150</v>
      </c>
      <c r="H385">
        <v>0</v>
      </c>
      <c r="I385">
        <v>62</v>
      </c>
      <c r="J385">
        <v>0.75</v>
      </c>
      <c r="K385" s="11" t="str">
        <f>VLOOKUP(materials[[#This Row],[Column1.projectId]],projects[],2,FALSE)</f>
        <v>Dexcellent II</v>
      </c>
    </row>
    <row r="386" spans="1:11" x14ac:dyDescent="0.45">
      <c r="A386">
        <v>21</v>
      </c>
      <c r="B386">
        <v>390</v>
      </c>
      <c r="C386" t="s">
        <v>287</v>
      </c>
      <c r="D386">
        <v>800</v>
      </c>
      <c r="E386">
        <v>200.95</v>
      </c>
      <c r="F386">
        <v>55</v>
      </c>
      <c r="G386">
        <v>150</v>
      </c>
      <c r="H386">
        <v>0</v>
      </c>
      <c r="I386">
        <v>62</v>
      </c>
      <c r="J386">
        <v>0.75</v>
      </c>
      <c r="K386" s="11" t="str">
        <f>VLOOKUP(materials[[#This Row],[Column1.projectId]],projects[],2,FALSE)</f>
        <v>Dexcellent II</v>
      </c>
    </row>
    <row r="387" spans="1:11" x14ac:dyDescent="0.45">
      <c r="A387">
        <v>21</v>
      </c>
      <c r="B387">
        <v>391</v>
      </c>
      <c r="C387" t="s">
        <v>89</v>
      </c>
      <c r="D387">
        <v>1</v>
      </c>
      <c r="E387">
        <v>3.11</v>
      </c>
      <c r="F387">
        <v>0.41</v>
      </c>
      <c r="G387">
        <v>0</v>
      </c>
      <c r="H387">
        <v>0</v>
      </c>
      <c r="I387">
        <v>31.82</v>
      </c>
      <c r="J387">
        <v>1</v>
      </c>
      <c r="K387" s="11" t="str">
        <f>VLOOKUP(materials[[#This Row],[Column1.projectId]],projects[],2,FALSE)</f>
        <v>Dexcellent II</v>
      </c>
    </row>
    <row r="388" spans="1:11" x14ac:dyDescent="0.45">
      <c r="A388">
        <v>21</v>
      </c>
      <c r="B388">
        <v>392</v>
      </c>
      <c r="C388" t="s">
        <v>55</v>
      </c>
      <c r="D388">
        <v>1</v>
      </c>
      <c r="E388">
        <v>3.11</v>
      </c>
      <c r="F388">
        <v>0.41</v>
      </c>
      <c r="G388">
        <v>0</v>
      </c>
      <c r="H388">
        <v>0</v>
      </c>
      <c r="I388">
        <v>31.82</v>
      </c>
      <c r="J388">
        <v>1</v>
      </c>
      <c r="K388" s="11" t="str">
        <f>VLOOKUP(materials[[#This Row],[Column1.projectId]],projects[],2,FALSE)</f>
        <v>Dexcellent II</v>
      </c>
    </row>
    <row r="389" spans="1:11" x14ac:dyDescent="0.45">
      <c r="A389">
        <v>21</v>
      </c>
      <c r="B389">
        <v>393</v>
      </c>
      <c r="C389" t="s">
        <v>76</v>
      </c>
      <c r="D389">
        <v>1</v>
      </c>
      <c r="E389">
        <v>65</v>
      </c>
      <c r="F389">
        <v>55</v>
      </c>
      <c r="G389">
        <v>10.3</v>
      </c>
      <c r="H389">
        <v>0</v>
      </c>
      <c r="I389">
        <v>0</v>
      </c>
      <c r="J389">
        <v>6.4</v>
      </c>
      <c r="K389" s="11" t="str">
        <f>VLOOKUP(materials[[#This Row],[Column1.projectId]],projects[],2,FALSE)</f>
        <v>Dexcellent II</v>
      </c>
    </row>
    <row r="390" spans="1:11" x14ac:dyDescent="0.45">
      <c r="A390">
        <v>21</v>
      </c>
      <c r="B390">
        <v>394</v>
      </c>
      <c r="C390" t="s">
        <v>57</v>
      </c>
      <c r="D390">
        <v>1</v>
      </c>
      <c r="E390">
        <v>3.9375</v>
      </c>
      <c r="F390">
        <v>3</v>
      </c>
      <c r="G390">
        <v>1.8</v>
      </c>
      <c r="H390">
        <v>0</v>
      </c>
      <c r="I390">
        <v>0</v>
      </c>
      <c r="J390">
        <v>15</v>
      </c>
      <c r="K390" s="11" t="str">
        <f>VLOOKUP(materials[[#This Row],[Column1.projectId]],projects[],2,FALSE)</f>
        <v>Dexcellent II</v>
      </c>
    </row>
    <row r="391" spans="1:11" x14ac:dyDescent="0.45">
      <c r="A391">
        <v>8</v>
      </c>
      <c r="B391">
        <v>395</v>
      </c>
      <c r="C391" t="s">
        <v>288</v>
      </c>
      <c r="D391">
        <v>500</v>
      </c>
      <c r="E391">
        <v>183.77225000000001</v>
      </c>
      <c r="F391">
        <v>55</v>
      </c>
      <c r="G391">
        <v>500</v>
      </c>
      <c r="H391">
        <v>300</v>
      </c>
      <c r="I391">
        <v>0</v>
      </c>
      <c r="J391">
        <v>4</v>
      </c>
      <c r="K391" s="11" t="str">
        <f>VLOOKUP(materials[[#This Row],[Column1.projectId]],projects[],2,FALSE)</f>
        <v>860 Carlisle</v>
      </c>
    </row>
    <row r="392" spans="1:11" x14ac:dyDescent="0.45">
      <c r="A392">
        <v>8</v>
      </c>
      <c r="B392">
        <v>396</v>
      </c>
      <c r="C392" t="s">
        <v>289</v>
      </c>
      <c r="D392">
        <v>45</v>
      </c>
      <c r="E392">
        <v>16.277000000000001</v>
      </c>
      <c r="F392">
        <v>1</v>
      </c>
      <c r="G392">
        <v>100</v>
      </c>
      <c r="H392">
        <v>0</v>
      </c>
      <c r="I392">
        <v>90</v>
      </c>
      <c r="J392">
        <v>0</v>
      </c>
      <c r="K392" s="11" t="str">
        <f>VLOOKUP(materials[[#This Row],[Column1.projectId]],projects[],2,FALSE)</f>
        <v>860 Carlisle</v>
      </c>
    </row>
    <row r="393" spans="1:11" x14ac:dyDescent="0.45">
      <c r="A393">
        <v>8</v>
      </c>
      <c r="B393">
        <v>397</v>
      </c>
      <c r="C393" t="s">
        <v>290</v>
      </c>
      <c r="D393">
        <v>45</v>
      </c>
      <c r="E393">
        <v>16.277000000000001</v>
      </c>
      <c r="F393">
        <v>1</v>
      </c>
      <c r="G393">
        <v>75</v>
      </c>
      <c r="H393">
        <v>75</v>
      </c>
      <c r="I393">
        <v>75</v>
      </c>
      <c r="J393">
        <v>0</v>
      </c>
      <c r="K393" s="11" t="str">
        <f>VLOOKUP(materials[[#This Row],[Column1.projectId]],projects[],2,FALSE)</f>
        <v>860 Carlisle</v>
      </c>
    </row>
    <row r="394" spans="1:11" x14ac:dyDescent="0.45">
      <c r="A394">
        <v>8</v>
      </c>
      <c r="B394">
        <v>398</v>
      </c>
      <c r="C394" t="s">
        <v>291</v>
      </c>
      <c r="D394">
        <v>45</v>
      </c>
      <c r="E394">
        <v>16.277000000000001</v>
      </c>
      <c r="F394">
        <v>1</v>
      </c>
      <c r="G394">
        <v>100</v>
      </c>
      <c r="H394">
        <v>75</v>
      </c>
      <c r="I394">
        <v>100</v>
      </c>
      <c r="J394">
        <v>0</v>
      </c>
      <c r="K394" s="11" t="str">
        <f>VLOOKUP(materials[[#This Row],[Column1.projectId]],projects[],2,FALSE)</f>
        <v>860 Carlisle</v>
      </c>
    </row>
    <row r="395" spans="1:11" x14ac:dyDescent="0.45">
      <c r="A395">
        <v>8</v>
      </c>
      <c r="B395">
        <v>399</v>
      </c>
      <c r="C395" t="s">
        <v>292</v>
      </c>
      <c r="D395">
        <v>180</v>
      </c>
      <c r="E395">
        <v>123.164</v>
      </c>
      <c r="F395">
        <v>60</v>
      </c>
      <c r="G395">
        <v>180</v>
      </c>
      <c r="H395">
        <v>100</v>
      </c>
      <c r="I395">
        <v>30</v>
      </c>
      <c r="J395">
        <v>6</v>
      </c>
      <c r="K395" s="11" t="str">
        <f>VLOOKUP(materials[[#This Row],[Column1.projectId]],projects[],2,FALSE)</f>
        <v>860 Carlisle</v>
      </c>
    </row>
    <row r="396" spans="1:11" x14ac:dyDescent="0.45">
      <c r="A396">
        <v>8</v>
      </c>
      <c r="B396">
        <v>400</v>
      </c>
      <c r="C396" t="s">
        <v>293</v>
      </c>
      <c r="D396">
        <v>45</v>
      </c>
      <c r="E396">
        <v>16.277000000000001</v>
      </c>
      <c r="F396">
        <v>1</v>
      </c>
      <c r="G396">
        <v>60</v>
      </c>
      <c r="H396">
        <v>0</v>
      </c>
      <c r="I396">
        <v>64</v>
      </c>
      <c r="J396">
        <v>6</v>
      </c>
      <c r="K396" s="11" t="str">
        <f>VLOOKUP(materials[[#This Row],[Column1.projectId]],projects[],2,FALSE)</f>
        <v>860 Carlisle</v>
      </c>
    </row>
    <row r="397" spans="1:11" x14ac:dyDescent="0.45">
      <c r="A397">
        <v>8</v>
      </c>
      <c r="B397">
        <v>401</v>
      </c>
      <c r="C397" t="s">
        <v>294</v>
      </c>
      <c r="D397">
        <v>1</v>
      </c>
      <c r="E397">
        <v>16.963750000000001</v>
      </c>
      <c r="F397">
        <v>1</v>
      </c>
      <c r="G397">
        <v>0</v>
      </c>
      <c r="H397">
        <v>4</v>
      </c>
      <c r="I397">
        <v>0</v>
      </c>
      <c r="J397">
        <v>3</v>
      </c>
      <c r="K397" s="11" t="str">
        <f>VLOOKUP(materials[[#This Row],[Column1.projectId]],projects[],2,FALSE)</f>
        <v>860 Carlisle</v>
      </c>
    </row>
    <row r="398" spans="1:11" x14ac:dyDescent="0.45">
      <c r="A398">
        <v>8</v>
      </c>
      <c r="B398">
        <v>402</v>
      </c>
      <c r="C398" t="s">
        <v>295</v>
      </c>
      <c r="D398">
        <v>1</v>
      </c>
      <c r="E398">
        <v>6.1499999999999999E-2</v>
      </c>
      <c r="F398">
        <v>1</v>
      </c>
      <c r="G398">
        <v>0</v>
      </c>
      <c r="H398">
        <v>0</v>
      </c>
      <c r="I398">
        <v>0</v>
      </c>
      <c r="J398">
        <v>4</v>
      </c>
      <c r="K398" s="11" t="str">
        <f>VLOOKUP(materials[[#This Row],[Column1.projectId]],projects[],2,FALSE)</f>
        <v>860 Carlisle</v>
      </c>
    </row>
    <row r="399" spans="1:11" x14ac:dyDescent="0.45">
      <c r="A399">
        <v>8</v>
      </c>
      <c r="B399">
        <v>403</v>
      </c>
      <c r="C399" t="s">
        <v>296</v>
      </c>
      <c r="D399">
        <v>670</v>
      </c>
      <c r="E399">
        <v>159.73599999999999</v>
      </c>
      <c r="F399">
        <v>54</v>
      </c>
      <c r="G399">
        <v>0</v>
      </c>
      <c r="H399">
        <v>120</v>
      </c>
      <c r="I399">
        <v>160</v>
      </c>
      <c r="J399">
        <v>4</v>
      </c>
      <c r="K399" s="11" t="str">
        <f>VLOOKUP(materials[[#This Row],[Column1.projectId]],projects[],2,FALSE)</f>
        <v>860 Carlisle</v>
      </c>
    </row>
    <row r="400" spans="1:11" x14ac:dyDescent="0.45">
      <c r="A400">
        <v>8</v>
      </c>
      <c r="B400">
        <v>404</v>
      </c>
      <c r="C400" t="s">
        <v>297</v>
      </c>
      <c r="D400">
        <v>670</v>
      </c>
      <c r="E400">
        <v>416.13974999999999</v>
      </c>
      <c r="F400">
        <v>58</v>
      </c>
      <c r="G400">
        <v>300</v>
      </c>
      <c r="H400">
        <v>0</v>
      </c>
      <c r="I400">
        <v>260</v>
      </c>
      <c r="J400">
        <v>4</v>
      </c>
      <c r="K400" s="11" t="str">
        <f>VLOOKUP(materials[[#This Row],[Column1.projectId]],projects[],2,FALSE)</f>
        <v>860 Carlisle</v>
      </c>
    </row>
    <row r="401" spans="1:11" x14ac:dyDescent="0.45">
      <c r="A401">
        <v>8</v>
      </c>
      <c r="B401">
        <v>405</v>
      </c>
      <c r="C401" t="s">
        <v>298</v>
      </c>
      <c r="D401">
        <v>200</v>
      </c>
      <c r="E401">
        <v>142.94649999999999</v>
      </c>
      <c r="F401">
        <v>30</v>
      </c>
      <c r="G401">
        <v>0</v>
      </c>
      <c r="H401">
        <v>120</v>
      </c>
      <c r="I401">
        <v>0</v>
      </c>
      <c r="J401">
        <v>4</v>
      </c>
      <c r="K401" s="11" t="str">
        <f>VLOOKUP(materials[[#This Row],[Column1.projectId]],projects[],2,FALSE)</f>
        <v>860 Carlisle</v>
      </c>
    </row>
    <row r="402" spans="1:11" x14ac:dyDescent="0.45">
      <c r="A402">
        <v>8</v>
      </c>
      <c r="B402">
        <v>406</v>
      </c>
      <c r="C402" t="s">
        <v>299</v>
      </c>
      <c r="D402">
        <v>200</v>
      </c>
      <c r="E402">
        <v>139.8715</v>
      </c>
      <c r="F402">
        <v>30</v>
      </c>
      <c r="G402">
        <v>300</v>
      </c>
      <c r="H402">
        <v>0</v>
      </c>
      <c r="I402">
        <v>260</v>
      </c>
      <c r="J402">
        <v>4</v>
      </c>
      <c r="K402" s="11" t="str">
        <f>VLOOKUP(materials[[#This Row],[Column1.projectId]],projects[],2,FALSE)</f>
        <v>860 Carlisle</v>
      </c>
    </row>
    <row r="403" spans="1:11" x14ac:dyDescent="0.45">
      <c r="A403">
        <v>8</v>
      </c>
      <c r="B403">
        <v>407</v>
      </c>
      <c r="C403" t="s">
        <v>300</v>
      </c>
      <c r="D403">
        <v>1800</v>
      </c>
      <c r="E403">
        <v>209.76625000000001</v>
      </c>
      <c r="F403">
        <v>55</v>
      </c>
      <c r="G403">
        <v>0</v>
      </c>
      <c r="H403">
        <v>600</v>
      </c>
      <c r="I403">
        <v>0</v>
      </c>
      <c r="J403">
        <v>0</v>
      </c>
      <c r="K403" s="11" t="str">
        <f>VLOOKUP(materials[[#This Row],[Column1.projectId]],projects[],2,FALSE)</f>
        <v>860 Carlisle</v>
      </c>
    </row>
    <row r="404" spans="1:11" x14ac:dyDescent="0.45">
      <c r="A404">
        <v>8</v>
      </c>
      <c r="B404">
        <v>408</v>
      </c>
      <c r="C404" t="s">
        <v>301</v>
      </c>
      <c r="D404">
        <v>1</v>
      </c>
      <c r="E404">
        <v>24.477</v>
      </c>
      <c r="F404">
        <v>1</v>
      </c>
      <c r="G404">
        <v>0</v>
      </c>
      <c r="H404">
        <v>0</v>
      </c>
      <c r="I404">
        <v>0</v>
      </c>
      <c r="J404">
        <v>0</v>
      </c>
      <c r="K404" s="11" t="str">
        <f>VLOOKUP(materials[[#This Row],[Column1.projectId]],projects[],2,FALSE)</f>
        <v>860 Carlisle</v>
      </c>
    </row>
    <row r="405" spans="1:11" x14ac:dyDescent="0.45">
      <c r="A405">
        <v>8</v>
      </c>
      <c r="B405">
        <v>409</v>
      </c>
      <c r="C405" t="s">
        <v>302</v>
      </c>
      <c r="D405">
        <v>1</v>
      </c>
      <c r="E405">
        <v>3.6284999999999998</v>
      </c>
      <c r="F405">
        <v>0.15</v>
      </c>
      <c r="G405">
        <v>0</v>
      </c>
      <c r="H405">
        <v>50</v>
      </c>
      <c r="I405">
        <v>0</v>
      </c>
      <c r="J405">
        <v>0</v>
      </c>
      <c r="K405" s="11" t="str">
        <f>VLOOKUP(materials[[#This Row],[Column1.projectId]],projects[],2,FALSE)</f>
        <v>860 Carlisle</v>
      </c>
    </row>
    <row r="406" spans="1:11" x14ac:dyDescent="0.45">
      <c r="A406">
        <v>8</v>
      </c>
      <c r="B406">
        <v>410</v>
      </c>
      <c r="C406" t="s">
        <v>303</v>
      </c>
      <c r="D406">
        <v>1</v>
      </c>
      <c r="E406">
        <v>2.2037499999999999</v>
      </c>
      <c r="F406">
        <v>0.15</v>
      </c>
      <c r="G406">
        <v>0</v>
      </c>
      <c r="H406">
        <v>15</v>
      </c>
      <c r="I406">
        <v>0</v>
      </c>
      <c r="J406">
        <v>2</v>
      </c>
      <c r="K406" s="11" t="str">
        <f>VLOOKUP(materials[[#This Row],[Column1.projectId]],projects[],2,FALSE)</f>
        <v>860 Carlisle</v>
      </c>
    </row>
    <row r="407" spans="1:11" x14ac:dyDescent="0.45">
      <c r="A407">
        <v>8</v>
      </c>
      <c r="B407">
        <v>411</v>
      </c>
      <c r="C407" t="s">
        <v>304</v>
      </c>
      <c r="D407">
        <v>1</v>
      </c>
      <c r="E407">
        <v>1.7322500000000001</v>
      </c>
      <c r="F407">
        <v>0.15</v>
      </c>
      <c r="G407">
        <v>0</v>
      </c>
      <c r="H407">
        <v>50</v>
      </c>
      <c r="I407">
        <v>0</v>
      </c>
      <c r="J407">
        <v>4</v>
      </c>
      <c r="K407" s="11" t="str">
        <f>VLOOKUP(materials[[#This Row],[Column1.projectId]],projects[],2,FALSE)</f>
        <v>860 Carlisle</v>
      </c>
    </row>
    <row r="408" spans="1:11" x14ac:dyDescent="0.45">
      <c r="A408">
        <v>8</v>
      </c>
      <c r="B408">
        <v>412</v>
      </c>
      <c r="C408" t="s">
        <v>305</v>
      </c>
      <c r="D408">
        <v>540</v>
      </c>
      <c r="E408">
        <v>123.164</v>
      </c>
      <c r="F408">
        <v>60</v>
      </c>
      <c r="G408">
        <v>0</v>
      </c>
      <c r="H408">
        <v>50</v>
      </c>
      <c r="I408">
        <v>0</v>
      </c>
      <c r="J408">
        <v>0</v>
      </c>
      <c r="K408" s="11" t="str">
        <f>VLOOKUP(materials[[#This Row],[Column1.projectId]],projects[],2,FALSE)</f>
        <v>860 Carlisle</v>
      </c>
    </row>
    <row r="409" spans="1:11" x14ac:dyDescent="0.45">
      <c r="A409">
        <v>8</v>
      </c>
      <c r="B409">
        <v>413</v>
      </c>
      <c r="C409" t="s">
        <v>76</v>
      </c>
      <c r="D409">
        <v>1</v>
      </c>
      <c r="E409">
        <v>65</v>
      </c>
      <c r="F409">
        <v>55</v>
      </c>
      <c r="G409">
        <v>10.3</v>
      </c>
      <c r="H409">
        <v>0</v>
      </c>
      <c r="I409">
        <v>0</v>
      </c>
      <c r="J409">
        <v>6.4</v>
      </c>
      <c r="K409" s="11" t="str">
        <f>VLOOKUP(materials[[#This Row],[Column1.projectId]],projects[],2,FALSE)</f>
        <v>860 Carlisle</v>
      </c>
    </row>
    <row r="410" spans="1:11" x14ac:dyDescent="0.45">
      <c r="A410">
        <v>8</v>
      </c>
      <c r="B410">
        <v>414</v>
      </c>
      <c r="C410" t="s">
        <v>57</v>
      </c>
      <c r="D410">
        <v>1</v>
      </c>
      <c r="E410">
        <v>3.9375</v>
      </c>
      <c r="F410">
        <v>3</v>
      </c>
      <c r="G410">
        <v>1.8</v>
      </c>
      <c r="H410">
        <v>0</v>
      </c>
      <c r="I410">
        <v>0</v>
      </c>
      <c r="J410">
        <v>15</v>
      </c>
      <c r="K410" s="11" t="str">
        <f>VLOOKUP(materials[[#This Row],[Column1.projectId]],projects[],2,FALSE)</f>
        <v>860 Carlisle</v>
      </c>
    </row>
    <row r="411" spans="1:11" x14ac:dyDescent="0.45">
      <c r="A411">
        <v>22</v>
      </c>
      <c r="B411">
        <v>415</v>
      </c>
      <c r="C411" t="s">
        <v>181</v>
      </c>
      <c r="D411">
        <v>200</v>
      </c>
      <c r="E411">
        <v>249.09</v>
      </c>
      <c r="F411">
        <v>10</v>
      </c>
      <c r="G411">
        <v>180</v>
      </c>
      <c r="H411">
        <v>0</v>
      </c>
      <c r="I411">
        <v>90</v>
      </c>
      <c r="J411">
        <v>0</v>
      </c>
      <c r="K411" s="11" t="str">
        <f>VLOOKUP(materials[[#This Row],[Column1.projectId]],projects[],2,FALSE)</f>
        <v>Westcoat BT</v>
      </c>
    </row>
    <row r="412" spans="1:11" x14ac:dyDescent="0.45">
      <c r="A412">
        <v>22</v>
      </c>
      <c r="B412">
        <v>416</v>
      </c>
      <c r="C412" t="s">
        <v>182</v>
      </c>
      <c r="D412">
        <v>18</v>
      </c>
      <c r="E412">
        <v>8.96875</v>
      </c>
      <c r="F412">
        <v>3</v>
      </c>
      <c r="G412">
        <v>120</v>
      </c>
      <c r="H412">
        <v>0</v>
      </c>
      <c r="I412">
        <v>50</v>
      </c>
      <c r="J412">
        <v>0.75</v>
      </c>
      <c r="K412" s="11" t="str">
        <f>VLOOKUP(materials[[#This Row],[Column1.projectId]],projects[],2,FALSE)</f>
        <v>Westcoat BT</v>
      </c>
    </row>
    <row r="413" spans="1:11" x14ac:dyDescent="0.45">
      <c r="A413">
        <v>22</v>
      </c>
      <c r="B413">
        <v>417</v>
      </c>
      <c r="C413" t="s">
        <v>306</v>
      </c>
      <c r="D413">
        <v>600</v>
      </c>
      <c r="E413">
        <v>66.625</v>
      </c>
      <c r="F413">
        <v>2</v>
      </c>
      <c r="G413">
        <v>0</v>
      </c>
      <c r="H413">
        <v>0</v>
      </c>
      <c r="I413">
        <v>0</v>
      </c>
      <c r="J413">
        <v>0.75</v>
      </c>
      <c r="K413" s="11" t="str">
        <f>VLOOKUP(materials[[#This Row],[Column1.projectId]],projects[],2,FALSE)</f>
        <v>Westcoat BT</v>
      </c>
    </row>
    <row r="414" spans="1:11" x14ac:dyDescent="0.45">
      <c r="A414">
        <v>22</v>
      </c>
      <c r="B414">
        <v>418</v>
      </c>
      <c r="C414" t="s">
        <v>307</v>
      </c>
      <c r="D414">
        <v>33</v>
      </c>
      <c r="E414">
        <v>16.14</v>
      </c>
      <c r="F414">
        <v>50</v>
      </c>
      <c r="G414">
        <v>180</v>
      </c>
      <c r="H414">
        <v>0</v>
      </c>
      <c r="I414">
        <v>30</v>
      </c>
      <c r="J414">
        <v>0.75</v>
      </c>
      <c r="K414" s="11" t="str">
        <f>VLOOKUP(materials[[#This Row],[Column1.projectId]],projects[],2,FALSE)</f>
        <v>Westcoat BT</v>
      </c>
    </row>
    <row r="415" spans="1:11" x14ac:dyDescent="0.45">
      <c r="A415">
        <v>22</v>
      </c>
      <c r="B415">
        <v>419</v>
      </c>
      <c r="C415" t="s">
        <v>308</v>
      </c>
      <c r="D415">
        <v>125</v>
      </c>
      <c r="E415">
        <v>16.14</v>
      </c>
      <c r="F415">
        <v>50</v>
      </c>
      <c r="G415">
        <v>100</v>
      </c>
      <c r="H415">
        <v>0</v>
      </c>
      <c r="I415">
        <v>30</v>
      </c>
      <c r="J415">
        <v>0.75</v>
      </c>
      <c r="K415" s="11" t="str">
        <f>VLOOKUP(materials[[#This Row],[Column1.projectId]],projects[],2,FALSE)</f>
        <v>Westcoat BT</v>
      </c>
    </row>
    <row r="416" spans="1:11" x14ac:dyDescent="0.45">
      <c r="A416">
        <v>22</v>
      </c>
      <c r="B416">
        <v>420</v>
      </c>
      <c r="C416" t="s">
        <v>309</v>
      </c>
      <c r="D416">
        <v>175</v>
      </c>
      <c r="E416">
        <v>19.38</v>
      </c>
      <c r="F416">
        <v>50</v>
      </c>
      <c r="G416">
        <v>120</v>
      </c>
      <c r="H416">
        <v>0</v>
      </c>
      <c r="I416">
        <v>30</v>
      </c>
      <c r="J416">
        <v>0.75</v>
      </c>
      <c r="K416" s="11" t="str">
        <f>VLOOKUP(materials[[#This Row],[Column1.projectId]],projects[],2,FALSE)</f>
        <v>Westcoat BT</v>
      </c>
    </row>
    <row r="417" spans="1:11" x14ac:dyDescent="0.45">
      <c r="A417">
        <v>22</v>
      </c>
      <c r="B417">
        <v>421</v>
      </c>
      <c r="C417" t="s">
        <v>194</v>
      </c>
      <c r="D417">
        <v>800</v>
      </c>
      <c r="E417">
        <v>257.44</v>
      </c>
      <c r="F417">
        <v>55</v>
      </c>
      <c r="G417">
        <v>150</v>
      </c>
      <c r="H417">
        <v>0</v>
      </c>
      <c r="I417">
        <v>62</v>
      </c>
      <c r="J417">
        <v>0.75</v>
      </c>
      <c r="K417" s="11" t="str">
        <f>VLOOKUP(materials[[#This Row],[Column1.projectId]],projects[],2,FALSE)</f>
        <v>Westcoat BT</v>
      </c>
    </row>
    <row r="418" spans="1:11" x14ac:dyDescent="0.45">
      <c r="A418">
        <v>22</v>
      </c>
      <c r="B418">
        <v>422</v>
      </c>
      <c r="C418" t="s">
        <v>177</v>
      </c>
      <c r="D418">
        <v>0</v>
      </c>
      <c r="E418">
        <v>192.2</v>
      </c>
      <c r="F418">
        <v>55</v>
      </c>
      <c r="G418">
        <v>0</v>
      </c>
      <c r="H418">
        <v>0</v>
      </c>
      <c r="I418">
        <v>0</v>
      </c>
      <c r="J418">
        <v>0</v>
      </c>
      <c r="K418" s="11" t="str">
        <f>VLOOKUP(materials[[#This Row],[Column1.projectId]],projects[],2,FALSE)</f>
        <v>Westcoat BT</v>
      </c>
    </row>
    <row r="419" spans="1:11" x14ac:dyDescent="0.45">
      <c r="A419">
        <v>22</v>
      </c>
      <c r="B419">
        <v>423</v>
      </c>
      <c r="C419" t="s">
        <v>310</v>
      </c>
      <c r="D419">
        <v>427.5</v>
      </c>
      <c r="E419">
        <v>203.74</v>
      </c>
      <c r="F419">
        <v>40</v>
      </c>
      <c r="G419">
        <v>160</v>
      </c>
      <c r="H419">
        <v>200</v>
      </c>
      <c r="I419">
        <v>90</v>
      </c>
      <c r="J419">
        <v>4</v>
      </c>
      <c r="K419" s="11" t="str">
        <f>VLOOKUP(materials[[#This Row],[Column1.projectId]],projects[],2,FALSE)</f>
        <v>Westcoat BT</v>
      </c>
    </row>
    <row r="420" spans="1:11" x14ac:dyDescent="0.45">
      <c r="A420">
        <v>22</v>
      </c>
      <c r="B420">
        <v>424</v>
      </c>
      <c r="C420" t="s">
        <v>311</v>
      </c>
      <c r="D420">
        <v>250</v>
      </c>
      <c r="E420">
        <v>241.95</v>
      </c>
      <c r="F420">
        <v>55</v>
      </c>
      <c r="G420">
        <v>130</v>
      </c>
      <c r="H420">
        <v>0</v>
      </c>
      <c r="I420">
        <v>0</v>
      </c>
      <c r="J420">
        <v>0.75</v>
      </c>
      <c r="K420" s="11" t="str">
        <f>VLOOKUP(materials[[#This Row],[Column1.projectId]],projects[],2,FALSE)</f>
        <v>Westcoat BT</v>
      </c>
    </row>
    <row r="421" spans="1:11" x14ac:dyDescent="0.45">
      <c r="A421">
        <v>22</v>
      </c>
      <c r="B421">
        <v>425</v>
      </c>
      <c r="C421" t="s">
        <v>312</v>
      </c>
      <c r="D421">
        <v>125</v>
      </c>
      <c r="E421">
        <v>16.14</v>
      </c>
      <c r="F421">
        <v>50</v>
      </c>
      <c r="G421">
        <v>100</v>
      </c>
      <c r="H421">
        <v>0</v>
      </c>
      <c r="I421">
        <v>30</v>
      </c>
      <c r="J421">
        <v>0</v>
      </c>
      <c r="K421" s="11" t="str">
        <f>VLOOKUP(materials[[#This Row],[Column1.projectId]],projects[],2,FALSE)</f>
        <v>Westcoat BT</v>
      </c>
    </row>
    <row r="422" spans="1:11" x14ac:dyDescent="0.45">
      <c r="A422">
        <v>22</v>
      </c>
      <c r="B422">
        <v>426</v>
      </c>
      <c r="C422" t="s">
        <v>76</v>
      </c>
      <c r="D422">
        <v>1</v>
      </c>
      <c r="E422">
        <v>65</v>
      </c>
      <c r="F422">
        <v>55</v>
      </c>
      <c r="G422">
        <v>10.3</v>
      </c>
      <c r="H422">
        <v>0</v>
      </c>
      <c r="I422">
        <v>0</v>
      </c>
      <c r="J422">
        <v>6.4</v>
      </c>
      <c r="K422" s="11" t="str">
        <f>VLOOKUP(materials[[#This Row],[Column1.projectId]],projects[],2,FALSE)</f>
        <v>Westcoat BT</v>
      </c>
    </row>
    <row r="423" spans="1:11" x14ac:dyDescent="0.45">
      <c r="A423">
        <v>22</v>
      </c>
      <c r="B423">
        <v>427</v>
      </c>
      <c r="C423" t="s">
        <v>57</v>
      </c>
      <c r="D423">
        <v>1</v>
      </c>
      <c r="E423">
        <v>3.9375</v>
      </c>
      <c r="F423">
        <v>3</v>
      </c>
      <c r="G423">
        <v>1.8</v>
      </c>
      <c r="H423">
        <v>0</v>
      </c>
      <c r="I423">
        <v>0</v>
      </c>
      <c r="J423">
        <v>15</v>
      </c>
      <c r="K423" s="11" t="str">
        <f>VLOOKUP(materials[[#This Row],[Column1.projectId]],projects[],2,FALSE)</f>
        <v>Westcoat BT</v>
      </c>
    </row>
    <row r="424" spans="1:11" x14ac:dyDescent="0.45">
      <c r="A424">
        <v>23</v>
      </c>
      <c r="B424">
        <v>428</v>
      </c>
      <c r="C424" t="s">
        <v>313</v>
      </c>
      <c r="D424">
        <v>700</v>
      </c>
      <c r="E424">
        <v>76.069999999999993</v>
      </c>
      <c r="F424">
        <v>20</v>
      </c>
      <c r="G424">
        <v>300</v>
      </c>
      <c r="H424">
        <v>300</v>
      </c>
      <c r="I424">
        <v>300</v>
      </c>
      <c r="J424">
        <v>0.75</v>
      </c>
      <c r="K424" s="11" t="str">
        <f>VLOOKUP(materials[[#This Row],[Column1.projectId]],projects[],2,FALSE)</f>
        <v>UPI BT</v>
      </c>
    </row>
    <row r="425" spans="1:11" x14ac:dyDescent="0.45">
      <c r="A425">
        <v>23</v>
      </c>
      <c r="B425">
        <v>429</v>
      </c>
      <c r="C425" t="s">
        <v>314</v>
      </c>
      <c r="D425">
        <v>110</v>
      </c>
      <c r="E425">
        <v>154.41999999999999</v>
      </c>
      <c r="F425">
        <v>55</v>
      </c>
      <c r="G425">
        <v>60</v>
      </c>
      <c r="H425">
        <v>0</v>
      </c>
      <c r="I425">
        <v>3.6</v>
      </c>
      <c r="J425">
        <v>2</v>
      </c>
      <c r="K425" s="11" t="str">
        <f>VLOOKUP(materials[[#This Row],[Column1.projectId]],projects[],2,FALSE)</f>
        <v>UPI BT</v>
      </c>
    </row>
    <row r="426" spans="1:11" x14ac:dyDescent="0.45">
      <c r="A426">
        <v>23</v>
      </c>
      <c r="B426">
        <v>430</v>
      </c>
      <c r="C426" t="s">
        <v>315</v>
      </c>
      <c r="D426">
        <v>405</v>
      </c>
      <c r="E426">
        <v>84.41</v>
      </c>
      <c r="F426">
        <v>40</v>
      </c>
      <c r="G426">
        <v>400</v>
      </c>
      <c r="H426">
        <v>0</v>
      </c>
      <c r="I426">
        <v>100</v>
      </c>
      <c r="J426">
        <v>0</v>
      </c>
      <c r="K426" s="11" t="str">
        <f>VLOOKUP(materials[[#This Row],[Column1.projectId]],projects[],2,FALSE)</f>
        <v>UPI BT</v>
      </c>
    </row>
    <row r="427" spans="1:11" x14ac:dyDescent="0.45">
      <c r="A427">
        <v>23</v>
      </c>
      <c r="B427">
        <v>431</v>
      </c>
      <c r="C427" t="s">
        <v>316</v>
      </c>
      <c r="D427">
        <v>150</v>
      </c>
      <c r="E427">
        <v>7.55</v>
      </c>
      <c r="F427">
        <v>0.5</v>
      </c>
      <c r="G427">
        <v>50</v>
      </c>
      <c r="H427">
        <v>0</v>
      </c>
      <c r="I427">
        <v>90</v>
      </c>
      <c r="J427">
        <v>4</v>
      </c>
      <c r="K427" s="11" t="str">
        <f>VLOOKUP(materials[[#This Row],[Column1.projectId]],projects[],2,FALSE)</f>
        <v>UPI BT</v>
      </c>
    </row>
    <row r="428" spans="1:11" x14ac:dyDescent="0.45">
      <c r="A428">
        <v>23</v>
      </c>
      <c r="B428">
        <v>432</v>
      </c>
      <c r="C428" t="s">
        <v>317</v>
      </c>
      <c r="D428">
        <v>30</v>
      </c>
      <c r="E428">
        <v>3.99</v>
      </c>
      <c r="F428">
        <v>1</v>
      </c>
      <c r="G428">
        <v>0</v>
      </c>
      <c r="H428">
        <v>0</v>
      </c>
      <c r="I428">
        <v>0</v>
      </c>
      <c r="J428">
        <v>0</v>
      </c>
      <c r="K428" s="11" t="str">
        <f>VLOOKUP(materials[[#This Row],[Column1.projectId]],projects[],2,FALSE)</f>
        <v>UPI BT</v>
      </c>
    </row>
    <row r="429" spans="1:11" x14ac:dyDescent="0.45">
      <c r="A429">
        <v>23</v>
      </c>
      <c r="B429">
        <v>433</v>
      </c>
      <c r="C429" t="s">
        <v>130</v>
      </c>
      <c r="D429">
        <v>150</v>
      </c>
      <c r="E429">
        <v>7.55</v>
      </c>
      <c r="F429">
        <v>0.5</v>
      </c>
      <c r="G429">
        <v>60</v>
      </c>
      <c r="H429">
        <v>0</v>
      </c>
      <c r="I429">
        <v>60</v>
      </c>
      <c r="J429">
        <v>0</v>
      </c>
      <c r="K429" s="11" t="str">
        <f>VLOOKUP(materials[[#This Row],[Column1.projectId]],projects[],2,FALSE)</f>
        <v>UPI BT</v>
      </c>
    </row>
    <row r="430" spans="1:11" x14ac:dyDescent="0.45">
      <c r="A430">
        <v>23</v>
      </c>
      <c r="B430">
        <v>434</v>
      </c>
      <c r="C430" t="s">
        <v>318</v>
      </c>
      <c r="D430">
        <v>30</v>
      </c>
      <c r="E430">
        <v>3.99</v>
      </c>
      <c r="F430">
        <v>1</v>
      </c>
      <c r="G430">
        <v>0</v>
      </c>
      <c r="H430">
        <v>0</v>
      </c>
      <c r="I430">
        <v>0</v>
      </c>
      <c r="J430">
        <v>0</v>
      </c>
      <c r="K430" s="11" t="str">
        <f>VLOOKUP(materials[[#This Row],[Column1.projectId]],projects[],2,FALSE)</f>
        <v>UPI BT</v>
      </c>
    </row>
    <row r="431" spans="1:11" x14ac:dyDescent="0.45">
      <c r="A431">
        <v>23</v>
      </c>
      <c r="B431">
        <v>435</v>
      </c>
      <c r="C431" t="s">
        <v>319</v>
      </c>
      <c r="D431">
        <v>400</v>
      </c>
      <c r="E431">
        <v>154.41999999999999</v>
      </c>
      <c r="F431">
        <v>55</v>
      </c>
      <c r="G431">
        <v>120</v>
      </c>
      <c r="H431">
        <v>0</v>
      </c>
      <c r="I431">
        <v>7.2</v>
      </c>
      <c r="J431">
        <v>1</v>
      </c>
      <c r="K431" s="11" t="str">
        <f>VLOOKUP(materials[[#This Row],[Column1.projectId]],projects[],2,FALSE)</f>
        <v>UPI BT</v>
      </c>
    </row>
    <row r="432" spans="1:11" x14ac:dyDescent="0.45">
      <c r="A432">
        <v>23</v>
      </c>
      <c r="B432">
        <v>436</v>
      </c>
      <c r="C432" t="s">
        <v>320</v>
      </c>
      <c r="D432">
        <v>100</v>
      </c>
      <c r="E432">
        <v>24.92</v>
      </c>
      <c r="F432">
        <v>100</v>
      </c>
      <c r="G432">
        <v>0</v>
      </c>
      <c r="H432">
        <v>0</v>
      </c>
      <c r="I432">
        <v>0</v>
      </c>
      <c r="J432">
        <v>0</v>
      </c>
      <c r="K432" s="11" t="str">
        <f>VLOOKUP(materials[[#This Row],[Column1.projectId]],projects[],2,FALSE)</f>
        <v>UPI BT</v>
      </c>
    </row>
    <row r="433" spans="1:11" x14ac:dyDescent="0.45">
      <c r="A433">
        <v>23</v>
      </c>
      <c r="B433">
        <v>437</v>
      </c>
      <c r="C433" t="s">
        <v>321</v>
      </c>
      <c r="D433">
        <v>100</v>
      </c>
      <c r="E433">
        <v>47.15</v>
      </c>
      <c r="F433">
        <v>40</v>
      </c>
      <c r="G433">
        <v>200</v>
      </c>
      <c r="H433">
        <v>0</v>
      </c>
      <c r="I433">
        <v>160</v>
      </c>
      <c r="J433">
        <v>0</v>
      </c>
      <c r="K433" s="11" t="str">
        <f>VLOOKUP(materials[[#This Row],[Column1.projectId]],projects[],2,FALSE)</f>
        <v>UPI BT</v>
      </c>
    </row>
    <row r="434" spans="1:11" x14ac:dyDescent="0.45">
      <c r="A434">
        <v>23</v>
      </c>
      <c r="B434">
        <v>438</v>
      </c>
      <c r="C434" t="s">
        <v>322</v>
      </c>
      <c r="D434">
        <v>17</v>
      </c>
      <c r="E434">
        <v>7.5</v>
      </c>
      <c r="F434">
        <v>2</v>
      </c>
      <c r="G434">
        <v>120</v>
      </c>
      <c r="H434">
        <v>0</v>
      </c>
      <c r="I434">
        <v>0</v>
      </c>
      <c r="J434">
        <v>0.75</v>
      </c>
      <c r="K434" s="11" t="str">
        <f>VLOOKUP(materials[[#This Row],[Column1.projectId]],projects[],2,FALSE)</f>
        <v>UPI BT</v>
      </c>
    </row>
    <row r="435" spans="1:11" x14ac:dyDescent="0.45">
      <c r="A435">
        <v>23</v>
      </c>
      <c r="B435">
        <v>439</v>
      </c>
      <c r="C435" t="s">
        <v>78</v>
      </c>
      <c r="D435">
        <v>600</v>
      </c>
      <c r="E435">
        <v>66.625</v>
      </c>
      <c r="F435">
        <v>2</v>
      </c>
      <c r="G435">
        <v>0</v>
      </c>
      <c r="H435">
        <v>0</v>
      </c>
      <c r="I435">
        <v>0</v>
      </c>
      <c r="J435">
        <v>0</v>
      </c>
      <c r="K435" s="11" t="str">
        <f>VLOOKUP(materials[[#This Row],[Column1.projectId]],projects[],2,FALSE)</f>
        <v>UPI BT</v>
      </c>
    </row>
    <row r="436" spans="1:11" x14ac:dyDescent="0.45">
      <c r="A436">
        <v>23</v>
      </c>
      <c r="B436">
        <v>440</v>
      </c>
      <c r="C436" t="s">
        <v>323</v>
      </c>
      <c r="D436">
        <v>11</v>
      </c>
      <c r="E436">
        <v>9.5</v>
      </c>
      <c r="F436">
        <v>65</v>
      </c>
      <c r="G436">
        <v>120</v>
      </c>
      <c r="H436">
        <v>0</v>
      </c>
      <c r="I436">
        <v>30</v>
      </c>
      <c r="J436">
        <v>0</v>
      </c>
      <c r="K436" s="11" t="str">
        <f>VLOOKUP(materials[[#This Row],[Column1.projectId]],projects[],2,FALSE)</f>
        <v>UPI BT</v>
      </c>
    </row>
    <row r="437" spans="1:11" x14ac:dyDescent="0.45">
      <c r="A437">
        <v>23</v>
      </c>
      <c r="B437">
        <v>441</v>
      </c>
      <c r="C437" t="s">
        <v>324</v>
      </c>
      <c r="D437">
        <v>1</v>
      </c>
      <c r="E437">
        <v>0</v>
      </c>
      <c r="F437">
        <v>0</v>
      </c>
      <c r="G437">
        <v>0.72</v>
      </c>
      <c r="H437">
        <v>0</v>
      </c>
      <c r="I437">
        <v>0</v>
      </c>
      <c r="J437">
        <v>0</v>
      </c>
      <c r="K437" s="11" t="str">
        <f>VLOOKUP(materials[[#This Row],[Column1.projectId]],projects[],2,FALSE)</f>
        <v>UPI BT</v>
      </c>
    </row>
    <row r="438" spans="1:11" x14ac:dyDescent="0.45">
      <c r="A438">
        <v>23</v>
      </c>
      <c r="B438">
        <v>442</v>
      </c>
      <c r="C438" t="s">
        <v>325</v>
      </c>
      <c r="D438">
        <v>1</v>
      </c>
      <c r="E438">
        <v>0.56579999999999997</v>
      </c>
      <c r="F438">
        <v>0</v>
      </c>
      <c r="G438">
        <v>20</v>
      </c>
      <c r="H438">
        <v>0</v>
      </c>
      <c r="I438">
        <v>0</v>
      </c>
      <c r="J438">
        <v>0</v>
      </c>
      <c r="K438" s="11" t="str">
        <f>VLOOKUP(materials[[#This Row],[Column1.projectId]],projects[],2,FALSE)</f>
        <v>UPI BT</v>
      </c>
    </row>
    <row r="439" spans="1:11" x14ac:dyDescent="0.45">
      <c r="A439">
        <v>23</v>
      </c>
      <c r="B439">
        <v>443</v>
      </c>
      <c r="C439" t="s">
        <v>76</v>
      </c>
      <c r="D439">
        <v>1</v>
      </c>
      <c r="E439">
        <v>65</v>
      </c>
      <c r="F439">
        <v>55</v>
      </c>
      <c r="G439">
        <v>10.3</v>
      </c>
      <c r="H439">
        <v>0</v>
      </c>
      <c r="I439">
        <v>0</v>
      </c>
      <c r="J439">
        <v>6.4</v>
      </c>
      <c r="K439" s="11" t="str">
        <f>VLOOKUP(materials[[#This Row],[Column1.projectId]],projects[],2,FALSE)</f>
        <v>UPI BT</v>
      </c>
    </row>
    <row r="440" spans="1:11" x14ac:dyDescent="0.45">
      <c r="A440">
        <v>23</v>
      </c>
      <c r="B440">
        <v>444</v>
      </c>
      <c r="C440" t="s">
        <v>57</v>
      </c>
      <c r="D440">
        <v>1</v>
      </c>
      <c r="E440">
        <v>3.9375</v>
      </c>
      <c r="F440">
        <v>3</v>
      </c>
      <c r="G440">
        <v>1.8</v>
      </c>
      <c r="H440">
        <v>0</v>
      </c>
      <c r="I440">
        <v>0</v>
      </c>
      <c r="J440">
        <v>15</v>
      </c>
      <c r="K440" s="11" t="str">
        <f>VLOOKUP(materials[[#This Row],[Column1.projectId]],projects[],2,FALSE)</f>
        <v>UPI BT</v>
      </c>
    </row>
    <row r="441" spans="1:11" x14ac:dyDescent="0.45">
      <c r="A441">
        <v>23</v>
      </c>
      <c r="B441">
        <v>445</v>
      </c>
      <c r="C441" t="s">
        <v>326</v>
      </c>
      <c r="D441">
        <v>50</v>
      </c>
      <c r="E441">
        <v>2.0499999999999998</v>
      </c>
      <c r="F441">
        <v>1</v>
      </c>
      <c r="G441">
        <v>0</v>
      </c>
      <c r="H441">
        <v>80</v>
      </c>
      <c r="I441">
        <v>0</v>
      </c>
      <c r="J441">
        <v>4</v>
      </c>
      <c r="K441" s="11" t="str">
        <f>VLOOKUP(materials[[#This Row],[Column1.projectId]],projects[],2,FALSE)</f>
        <v>UPI BT</v>
      </c>
    </row>
    <row r="442" spans="1:11" x14ac:dyDescent="0.45">
      <c r="A442">
        <v>24</v>
      </c>
      <c r="B442">
        <v>446</v>
      </c>
      <c r="C442" t="s">
        <v>327</v>
      </c>
      <c r="D442">
        <v>0</v>
      </c>
      <c r="E442">
        <v>0</v>
      </c>
      <c r="F442">
        <v>0</v>
      </c>
      <c r="G442">
        <v>60</v>
      </c>
      <c r="H442">
        <v>0</v>
      </c>
      <c r="I442">
        <v>60</v>
      </c>
      <c r="J442">
        <v>0</v>
      </c>
      <c r="K442" s="11" t="str">
        <f>VLOOKUP(materials[[#This Row],[Column1.projectId]],projects[],2,FALSE)</f>
        <v>Dual Flex</v>
      </c>
    </row>
    <row r="443" spans="1:11" x14ac:dyDescent="0.45">
      <c r="A443">
        <v>24</v>
      </c>
      <c r="B443">
        <v>447</v>
      </c>
      <c r="C443" t="s">
        <v>328</v>
      </c>
      <c r="D443">
        <v>300</v>
      </c>
      <c r="E443">
        <v>54.17</v>
      </c>
      <c r="F443">
        <v>5</v>
      </c>
      <c r="G443">
        <v>0</v>
      </c>
      <c r="H443">
        <v>100</v>
      </c>
      <c r="I443">
        <v>0</v>
      </c>
      <c r="J443">
        <v>0</v>
      </c>
      <c r="K443" s="11" t="str">
        <f>VLOOKUP(materials[[#This Row],[Column1.projectId]],projects[],2,FALSE)</f>
        <v>Dual Flex</v>
      </c>
    </row>
    <row r="444" spans="1:11" x14ac:dyDescent="0.45">
      <c r="A444">
        <v>24</v>
      </c>
      <c r="B444">
        <v>448</v>
      </c>
      <c r="C444" t="s">
        <v>329</v>
      </c>
      <c r="D444">
        <v>950</v>
      </c>
      <c r="E444">
        <v>115.5</v>
      </c>
      <c r="F444">
        <v>19</v>
      </c>
      <c r="G444">
        <v>500</v>
      </c>
      <c r="H444">
        <v>250</v>
      </c>
      <c r="I444">
        <v>500</v>
      </c>
      <c r="J444">
        <v>0</v>
      </c>
      <c r="K444" s="11" t="str">
        <f>VLOOKUP(materials[[#This Row],[Column1.projectId]],projects[],2,FALSE)</f>
        <v>Dual Flex</v>
      </c>
    </row>
    <row r="445" spans="1:11" x14ac:dyDescent="0.45">
      <c r="A445">
        <v>24</v>
      </c>
      <c r="B445">
        <v>449</v>
      </c>
      <c r="C445" t="s">
        <v>330</v>
      </c>
      <c r="D445">
        <v>100</v>
      </c>
      <c r="E445">
        <v>134.505</v>
      </c>
      <c r="F445">
        <v>43</v>
      </c>
      <c r="G445">
        <v>170</v>
      </c>
      <c r="H445">
        <v>0</v>
      </c>
      <c r="I445">
        <v>170</v>
      </c>
      <c r="J445">
        <v>2</v>
      </c>
      <c r="K445" s="11" t="str">
        <f>VLOOKUP(materials[[#This Row],[Column1.projectId]],projects[],2,FALSE)</f>
        <v>Dual Flex</v>
      </c>
    </row>
    <row r="446" spans="1:11" x14ac:dyDescent="0.45">
      <c r="A446">
        <v>24</v>
      </c>
      <c r="B446">
        <v>450</v>
      </c>
      <c r="C446" t="s">
        <v>42</v>
      </c>
      <c r="D446">
        <v>250</v>
      </c>
      <c r="E446">
        <v>113.1165</v>
      </c>
      <c r="F446">
        <v>43</v>
      </c>
      <c r="G446">
        <v>0</v>
      </c>
      <c r="H446">
        <v>0</v>
      </c>
      <c r="I446">
        <v>0</v>
      </c>
      <c r="J446">
        <v>0</v>
      </c>
      <c r="K446" s="11" t="str">
        <f>VLOOKUP(materials[[#This Row],[Column1.projectId]],projects[],2,FALSE)</f>
        <v>Dual Flex</v>
      </c>
    </row>
    <row r="447" spans="1:11" x14ac:dyDescent="0.45">
      <c r="A447">
        <v>24</v>
      </c>
      <c r="B447">
        <v>451</v>
      </c>
      <c r="C447" t="s">
        <v>331</v>
      </c>
      <c r="D447">
        <v>165</v>
      </c>
      <c r="E447">
        <v>28.8855</v>
      </c>
      <c r="F447">
        <v>0</v>
      </c>
      <c r="G447">
        <v>180</v>
      </c>
      <c r="H447">
        <v>0</v>
      </c>
      <c r="I447">
        <v>180</v>
      </c>
      <c r="J447">
        <v>2</v>
      </c>
      <c r="K447" s="11" t="str">
        <f>VLOOKUP(materials[[#This Row],[Column1.projectId]],projects[],2,FALSE)</f>
        <v>Dual Flex</v>
      </c>
    </row>
    <row r="448" spans="1:11" x14ac:dyDescent="0.45">
      <c r="A448">
        <v>24</v>
      </c>
      <c r="B448">
        <v>452</v>
      </c>
      <c r="C448" t="s">
        <v>332</v>
      </c>
      <c r="D448">
        <v>180</v>
      </c>
      <c r="E448">
        <v>155.29499999999999</v>
      </c>
      <c r="F448">
        <v>0</v>
      </c>
      <c r="G448">
        <v>0</v>
      </c>
      <c r="H448">
        <v>60</v>
      </c>
      <c r="I448">
        <v>0</v>
      </c>
      <c r="J448">
        <v>0</v>
      </c>
      <c r="K448" s="11" t="str">
        <f>VLOOKUP(materials[[#This Row],[Column1.projectId]],projects[],2,FALSE)</f>
        <v>Dual Flex</v>
      </c>
    </row>
    <row r="449" spans="1:11" x14ac:dyDescent="0.45">
      <c r="A449">
        <v>24</v>
      </c>
      <c r="B449">
        <v>453</v>
      </c>
      <c r="C449" t="s">
        <v>333</v>
      </c>
      <c r="D449">
        <v>1665</v>
      </c>
      <c r="E449">
        <v>65.719499999999996</v>
      </c>
      <c r="F449">
        <v>19</v>
      </c>
      <c r="G449">
        <v>300</v>
      </c>
      <c r="H449">
        <v>250</v>
      </c>
      <c r="I449">
        <v>300</v>
      </c>
      <c r="J449">
        <v>0</v>
      </c>
      <c r="K449" s="11" t="str">
        <f>VLOOKUP(materials[[#This Row],[Column1.projectId]],projects[],2,FALSE)</f>
        <v>Dual Flex</v>
      </c>
    </row>
    <row r="450" spans="1:11" x14ac:dyDescent="0.45">
      <c r="A450">
        <v>24</v>
      </c>
      <c r="B450">
        <v>454</v>
      </c>
      <c r="C450" t="s">
        <v>334</v>
      </c>
      <c r="D450">
        <v>165</v>
      </c>
      <c r="E450">
        <v>278.90100000000001</v>
      </c>
      <c r="F450">
        <v>43</v>
      </c>
      <c r="G450">
        <v>75</v>
      </c>
      <c r="H450">
        <v>0</v>
      </c>
      <c r="I450">
        <v>75</v>
      </c>
      <c r="J450">
        <v>2</v>
      </c>
      <c r="K450" s="11" t="str">
        <f>VLOOKUP(materials[[#This Row],[Column1.projectId]],projects[],2,FALSE)</f>
        <v>Dual Flex</v>
      </c>
    </row>
    <row r="451" spans="1:11" x14ac:dyDescent="0.45">
      <c r="A451">
        <v>24</v>
      </c>
      <c r="B451">
        <v>455</v>
      </c>
      <c r="C451" t="s">
        <v>335</v>
      </c>
      <c r="D451">
        <v>270</v>
      </c>
      <c r="E451">
        <v>7.875</v>
      </c>
      <c r="F451">
        <v>0</v>
      </c>
      <c r="G451">
        <v>75</v>
      </c>
      <c r="H451">
        <v>0</v>
      </c>
      <c r="I451">
        <v>75</v>
      </c>
      <c r="J451">
        <v>1</v>
      </c>
      <c r="K451" s="11" t="str">
        <f>VLOOKUP(materials[[#This Row],[Column1.projectId]],projects[],2,FALSE)</f>
        <v>Dual Flex</v>
      </c>
    </row>
    <row r="452" spans="1:11" x14ac:dyDescent="0.45">
      <c r="A452">
        <v>24</v>
      </c>
      <c r="B452">
        <v>456</v>
      </c>
      <c r="C452" t="s">
        <v>129</v>
      </c>
      <c r="D452">
        <v>30</v>
      </c>
      <c r="E452">
        <v>8.3055000000000003</v>
      </c>
      <c r="F452">
        <v>0</v>
      </c>
      <c r="G452">
        <v>75</v>
      </c>
      <c r="H452">
        <v>0</v>
      </c>
      <c r="I452">
        <v>75</v>
      </c>
      <c r="J452">
        <v>0</v>
      </c>
      <c r="K452" s="11" t="str">
        <f>VLOOKUP(materials[[#This Row],[Column1.projectId]],projects[],2,FALSE)</f>
        <v>Dual Flex</v>
      </c>
    </row>
    <row r="453" spans="1:11" x14ac:dyDescent="0.45">
      <c r="A453">
        <v>24</v>
      </c>
      <c r="B453">
        <v>457</v>
      </c>
      <c r="C453" t="s">
        <v>336</v>
      </c>
      <c r="D453">
        <v>270</v>
      </c>
      <c r="E453">
        <v>7.875</v>
      </c>
      <c r="F453">
        <v>0</v>
      </c>
      <c r="G453">
        <v>60</v>
      </c>
      <c r="H453">
        <v>0</v>
      </c>
      <c r="I453">
        <v>60</v>
      </c>
      <c r="J453">
        <v>1</v>
      </c>
      <c r="K453" s="11" t="str">
        <f>VLOOKUP(materials[[#This Row],[Column1.projectId]],projects[],2,FALSE)</f>
        <v>Dual Flex</v>
      </c>
    </row>
    <row r="454" spans="1:11" x14ac:dyDescent="0.45">
      <c r="A454">
        <v>24</v>
      </c>
      <c r="B454">
        <v>458</v>
      </c>
      <c r="C454" t="s">
        <v>131</v>
      </c>
      <c r="D454">
        <v>30</v>
      </c>
      <c r="E454">
        <v>8.7100000000000009</v>
      </c>
      <c r="F454">
        <v>0</v>
      </c>
      <c r="G454">
        <v>0</v>
      </c>
      <c r="H454">
        <v>0</v>
      </c>
      <c r="I454">
        <v>0</v>
      </c>
      <c r="J454">
        <v>0</v>
      </c>
      <c r="K454" s="11" t="str">
        <f>VLOOKUP(materials[[#This Row],[Column1.projectId]],projects[],2,FALSE)</f>
        <v>Dual Flex</v>
      </c>
    </row>
    <row r="455" spans="1:11" x14ac:dyDescent="0.45">
      <c r="A455">
        <v>24</v>
      </c>
      <c r="B455">
        <v>459</v>
      </c>
      <c r="C455" t="s">
        <v>324</v>
      </c>
      <c r="D455">
        <v>1</v>
      </c>
      <c r="E455">
        <v>0</v>
      </c>
      <c r="F455">
        <v>0</v>
      </c>
      <c r="G455">
        <v>0.36</v>
      </c>
      <c r="H455">
        <v>0</v>
      </c>
      <c r="I455">
        <v>0.36</v>
      </c>
      <c r="J455">
        <v>0</v>
      </c>
      <c r="K455" s="11" t="str">
        <f>VLOOKUP(materials[[#This Row],[Column1.projectId]],projects[],2,FALSE)</f>
        <v>Dual Flex</v>
      </c>
    </row>
    <row r="456" spans="1:11" x14ac:dyDescent="0.45">
      <c r="A456">
        <v>24</v>
      </c>
      <c r="B456">
        <v>460</v>
      </c>
      <c r="C456" t="s">
        <v>325</v>
      </c>
      <c r="D456">
        <v>1</v>
      </c>
      <c r="E456">
        <v>0.78749999999999998</v>
      </c>
      <c r="F456">
        <v>0</v>
      </c>
      <c r="G456">
        <v>9</v>
      </c>
      <c r="H456">
        <v>0</v>
      </c>
      <c r="I456">
        <v>9</v>
      </c>
      <c r="J456">
        <v>0</v>
      </c>
      <c r="K456" s="11" t="str">
        <f>VLOOKUP(materials[[#This Row],[Column1.projectId]],projects[],2,FALSE)</f>
        <v>Dual Flex</v>
      </c>
    </row>
    <row r="457" spans="1:11" x14ac:dyDescent="0.45">
      <c r="A457">
        <v>24</v>
      </c>
      <c r="B457">
        <v>461</v>
      </c>
      <c r="C457" t="s">
        <v>76</v>
      </c>
      <c r="D457">
        <v>1</v>
      </c>
      <c r="E457">
        <v>65</v>
      </c>
      <c r="F457">
        <v>0</v>
      </c>
      <c r="G457">
        <v>10.3</v>
      </c>
      <c r="H457">
        <v>0</v>
      </c>
      <c r="I457">
        <v>10.3</v>
      </c>
      <c r="J457">
        <v>4</v>
      </c>
      <c r="K457" s="11" t="str">
        <f>VLOOKUP(materials[[#This Row],[Column1.projectId]],projects[],2,FALSE)</f>
        <v>Dual Flex</v>
      </c>
    </row>
    <row r="458" spans="1:11" x14ac:dyDescent="0.45">
      <c r="A458">
        <v>24</v>
      </c>
      <c r="B458">
        <v>462</v>
      </c>
      <c r="C458" t="s">
        <v>57</v>
      </c>
      <c r="D458">
        <v>1</v>
      </c>
      <c r="E458">
        <v>3.9375</v>
      </c>
      <c r="F458">
        <v>0</v>
      </c>
      <c r="G458">
        <v>1.8</v>
      </c>
      <c r="H458">
        <v>0</v>
      </c>
      <c r="I458">
        <v>1.8</v>
      </c>
      <c r="J458">
        <v>15</v>
      </c>
      <c r="K458" s="11" t="str">
        <f>VLOOKUP(materials[[#This Row],[Column1.projectId]],projects[],2,FALSE)</f>
        <v>Dual Flex</v>
      </c>
    </row>
    <row r="459" spans="1:11" x14ac:dyDescent="0.45">
      <c r="A459">
        <v>25</v>
      </c>
      <c r="B459">
        <v>463</v>
      </c>
      <c r="C459" t="s">
        <v>337</v>
      </c>
      <c r="D459">
        <v>3000</v>
      </c>
      <c r="E459">
        <v>15.375</v>
      </c>
      <c r="F459">
        <v>8</v>
      </c>
      <c r="G459">
        <v>200</v>
      </c>
      <c r="H459">
        <v>50</v>
      </c>
      <c r="I459">
        <v>100</v>
      </c>
      <c r="J459">
        <v>6</v>
      </c>
      <c r="K459" s="11" t="str">
        <f>VLOOKUP(materials[[#This Row],[Column1.projectId]],projects[],2,FALSE)</f>
        <v>Westcoat Epoxy</v>
      </c>
    </row>
    <row r="460" spans="1:11" x14ac:dyDescent="0.45">
      <c r="A460">
        <v>25</v>
      </c>
      <c r="B460">
        <v>464</v>
      </c>
      <c r="C460" t="s">
        <v>338</v>
      </c>
      <c r="D460">
        <v>1</v>
      </c>
      <c r="E460">
        <v>27.64425</v>
      </c>
      <c r="F460">
        <v>0</v>
      </c>
      <c r="G460">
        <v>0.5</v>
      </c>
      <c r="H460">
        <v>0.5</v>
      </c>
      <c r="I460">
        <v>0</v>
      </c>
      <c r="J460">
        <v>2</v>
      </c>
      <c r="K460" s="11" t="str">
        <f>VLOOKUP(materials[[#This Row],[Column1.projectId]],projects[],2,FALSE)</f>
        <v>Westcoat Epoxy</v>
      </c>
    </row>
    <row r="461" spans="1:11" x14ac:dyDescent="0.45">
      <c r="A461">
        <v>25</v>
      </c>
      <c r="B461">
        <v>465</v>
      </c>
      <c r="C461" t="s">
        <v>339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 s="11" t="str">
        <f>VLOOKUP(materials[[#This Row],[Column1.projectId]],projects[],2,FALSE)</f>
        <v>Westcoat Epoxy</v>
      </c>
    </row>
    <row r="462" spans="1:11" x14ac:dyDescent="0.45">
      <c r="A462">
        <v>25</v>
      </c>
      <c r="B462">
        <v>466</v>
      </c>
      <c r="C462" t="s">
        <v>340</v>
      </c>
      <c r="D462">
        <v>600</v>
      </c>
      <c r="E462">
        <v>154.97</v>
      </c>
      <c r="F462">
        <v>0</v>
      </c>
      <c r="G462">
        <v>120</v>
      </c>
      <c r="H462">
        <v>40</v>
      </c>
      <c r="I462">
        <v>30</v>
      </c>
      <c r="J462">
        <v>0</v>
      </c>
      <c r="K462" s="11" t="str">
        <f>VLOOKUP(materials[[#This Row],[Column1.projectId]],projects[],2,FALSE)</f>
        <v>Westcoat Epoxy</v>
      </c>
    </row>
    <row r="463" spans="1:11" x14ac:dyDescent="0.45">
      <c r="A463">
        <v>25</v>
      </c>
      <c r="B463">
        <v>467</v>
      </c>
      <c r="C463" t="s">
        <v>341</v>
      </c>
      <c r="D463">
        <v>600</v>
      </c>
      <c r="E463">
        <v>156.56</v>
      </c>
      <c r="F463">
        <v>15</v>
      </c>
      <c r="G463">
        <v>0</v>
      </c>
      <c r="H463">
        <v>0</v>
      </c>
      <c r="I463">
        <v>0</v>
      </c>
      <c r="J463">
        <v>0</v>
      </c>
      <c r="K463" s="11" t="str">
        <f>VLOOKUP(materials[[#This Row],[Column1.projectId]],projects[],2,FALSE)</f>
        <v>Westcoat Epoxy</v>
      </c>
    </row>
    <row r="464" spans="1:11" x14ac:dyDescent="0.45">
      <c r="A464">
        <v>25</v>
      </c>
      <c r="B464">
        <v>468</v>
      </c>
      <c r="C464" t="s">
        <v>342</v>
      </c>
      <c r="D464">
        <v>150</v>
      </c>
      <c r="E464">
        <v>156.36375000000001</v>
      </c>
      <c r="F464">
        <v>8</v>
      </c>
      <c r="G464">
        <v>0</v>
      </c>
      <c r="H464">
        <v>0</v>
      </c>
      <c r="I464">
        <v>0</v>
      </c>
      <c r="J464">
        <v>0</v>
      </c>
      <c r="K464" s="11" t="str">
        <f>VLOOKUP(materials[[#This Row],[Column1.projectId]],projects[],2,FALSE)</f>
        <v>Westcoat Epoxy</v>
      </c>
    </row>
    <row r="465" spans="1:11" x14ac:dyDescent="0.45">
      <c r="A465">
        <v>25</v>
      </c>
      <c r="B465">
        <v>469</v>
      </c>
      <c r="C465" t="s">
        <v>343</v>
      </c>
      <c r="D465">
        <v>10</v>
      </c>
      <c r="E465">
        <v>3.37</v>
      </c>
      <c r="F465">
        <v>1</v>
      </c>
      <c r="G465">
        <v>0</v>
      </c>
      <c r="H465">
        <v>0</v>
      </c>
      <c r="I465">
        <v>0</v>
      </c>
      <c r="J465">
        <v>0</v>
      </c>
      <c r="K465" s="11" t="str">
        <f>VLOOKUP(materials[[#This Row],[Column1.projectId]],projects[],2,FALSE)</f>
        <v>Westcoat Epoxy</v>
      </c>
    </row>
    <row r="466" spans="1:11" x14ac:dyDescent="0.45">
      <c r="A466">
        <v>25</v>
      </c>
      <c r="B466">
        <v>470</v>
      </c>
      <c r="C466" t="s">
        <v>344</v>
      </c>
      <c r="D466">
        <v>66</v>
      </c>
      <c r="E466">
        <v>30.001750000000001</v>
      </c>
      <c r="F466">
        <v>50</v>
      </c>
      <c r="G466">
        <v>0</v>
      </c>
      <c r="H466">
        <v>0</v>
      </c>
      <c r="I466">
        <v>0</v>
      </c>
      <c r="J466">
        <v>0</v>
      </c>
      <c r="K466" s="11" t="str">
        <f>VLOOKUP(materials[[#This Row],[Column1.projectId]],projects[],2,FALSE)</f>
        <v>Westcoat Epoxy</v>
      </c>
    </row>
    <row r="467" spans="1:11" x14ac:dyDescent="0.45">
      <c r="A467">
        <v>25</v>
      </c>
      <c r="B467">
        <v>471</v>
      </c>
      <c r="C467" t="s">
        <v>345</v>
      </c>
      <c r="D467">
        <v>0</v>
      </c>
      <c r="E467">
        <v>0</v>
      </c>
      <c r="F467">
        <v>0</v>
      </c>
      <c r="G467">
        <v>100</v>
      </c>
      <c r="H467">
        <v>30</v>
      </c>
      <c r="I467">
        <v>20</v>
      </c>
      <c r="J467">
        <v>6</v>
      </c>
      <c r="K467" s="11" t="str">
        <f>VLOOKUP(materials[[#This Row],[Column1.projectId]],projects[],2,FALSE)</f>
        <v>Westcoat Epoxy</v>
      </c>
    </row>
    <row r="468" spans="1:11" x14ac:dyDescent="0.45">
      <c r="A468">
        <v>25</v>
      </c>
      <c r="B468">
        <v>472</v>
      </c>
      <c r="C468" t="s">
        <v>346</v>
      </c>
      <c r="D468">
        <v>0</v>
      </c>
      <c r="E468">
        <v>0</v>
      </c>
      <c r="F468">
        <v>0</v>
      </c>
      <c r="G468">
        <v>120</v>
      </c>
      <c r="H468">
        <v>40</v>
      </c>
      <c r="I468">
        <v>30</v>
      </c>
      <c r="J468">
        <v>6</v>
      </c>
      <c r="K468" s="11" t="str">
        <f>VLOOKUP(materials[[#This Row],[Column1.projectId]],projects[],2,FALSE)</f>
        <v>Westcoat Epoxy</v>
      </c>
    </row>
    <row r="469" spans="1:11" x14ac:dyDescent="0.45">
      <c r="A469">
        <v>25</v>
      </c>
      <c r="B469">
        <v>473</v>
      </c>
      <c r="C469" t="s">
        <v>347</v>
      </c>
      <c r="D469">
        <v>0</v>
      </c>
      <c r="E469">
        <v>0</v>
      </c>
      <c r="F469">
        <v>0</v>
      </c>
      <c r="G469">
        <v>0</v>
      </c>
      <c r="H469">
        <v>10</v>
      </c>
      <c r="I469">
        <v>0</v>
      </c>
      <c r="J469">
        <v>6</v>
      </c>
      <c r="K469" s="11" t="str">
        <f>VLOOKUP(materials[[#This Row],[Column1.projectId]],projects[],2,FALSE)</f>
        <v>Westcoat Epoxy</v>
      </c>
    </row>
    <row r="470" spans="1:11" x14ac:dyDescent="0.45">
      <c r="A470">
        <v>25</v>
      </c>
      <c r="B470">
        <v>474</v>
      </c>
      <c r="C470" t="s">
        <v>348</v>
      </c>
      <c r="D470">
        <v>625</v>
      </c>
      <c r="E470">
        <v>274.87425000000002</v>
      </c>
      <c r="F470">
        <v>8</v>
      </c>
      <c r="G470">
        <v>200</v>
      </c>
      <c r="H470">
        <v>200</v>
      </c>
      <c r="I470">
        <v>100</v>
      </c>
      <c r="J470">
        <v>4</v>
      </c>
      <c r="K470" s="11" t="str">
        <f>VLOOKUP(materials[[#This Row],[Column1.projectId]],projects[],2,FALSE)</f>
        <v>Westcoat Epoxy</v>
      </c>
    </row>
    <row r="471" spans="1:11" x14ac:dyDescent="0.45">
      <c r="A471">
        <v>27</v>
      </c>
      <c r="B471">
        <v>475</v>
      </c>
      <c r="C471" t="s">
        <v>349</v>
      </c>
      <c r="D471">
        <v>270</v>
      </c>
      <c r="E471">
        <v>198.99</v>
      </c>
      <c r="F471">
        <v>60</v>
      </c>
      <c r="G471">
        <v>125</v>
      </c>
      <c r="H471">
        <v>125</v>
      </c>
      <c r="I471">
        <v>80</v>
      </c>
      <c r="J471">
        <v>4</v>
      </c>
      <c r="K471" s="11" t="str">
        <f>VLOOKUP(materials[[#This Row],[Column1.projectId]],projects[],2,FALSE)</f>
        <v>Xypex</v>
      </c>
    </row>
    <row r="472" spans="1:11" x14ac:dyDescent="0.45">
      <c r="A472">
        <v>27</v>
      </c>
      <c r="B472">
        <v>476</v>
      </c>
      <c r="C472" t="s">
        <v>350</v>
      </c>
      <c r="D472">
        <v>180</v>
      </c>
      <c r="E472">
        <v>69.59</v>
      </c>
      <c r="F472">
        <v>60</v>
      </c>
      <c r="G472">
        <v>0</v>
      </c>
      <c r="H472">
        <v>27</v>
      </c>
      <c r="I472">
        <v>0</v>
      </c>
      <c r="J472">
        <v>2</v>
      </c>
      <c r="K472" s="11" t="str">
        <f>VLOOKUP(materials[[#This Row],[Column1.projectId]],projects[],2,FALSE)</f>
        <v>Xypex</v>
      </c>
    </row>
    <row r="473" spans="1:11" x14ac:dyDescent="0.45">
      <c r="A473">
        <v>27</v>
      </c>
      <c r="B473">
        <v>477</v>
      </c>
      <c r="C473" t="s">
        <v>351</v>
      </c>
      <c r="D473">
        <v>360</v>
      </c>
      <c r="E473">
        <v>128.4325</v>
      </c>
      <c r="F473">
        <v>60</v>
      </c>
      <c r="G473">
        <v>125</v>
      </c>
      <c r="H473">
        <v>125</v>
      </c>
      <c r="I473">
        <v>80</v>
      </c>
      <c r="J473">
        <v>4</v>
      </c>
      <c r="K473" s="11" t="str">
        <f>VLOOKUP(materials[[#This Row],[Column1.projectId]],projects[],2,FALSE)</f>
        <v>Xypex</v>
      </c>
    </row>
    <row r="474" spans="1:11" x14ac:dyDescent="0.45">
      <c r="A474">
        <v>27</v>
      </c>
      <c r="B474">
        <v>478</v>
      </c>
      <c r="C474" t="s">
        <v>352</v>
      </c>
      <c r="D474">
        <v>270</v>
      </c>
      <c r="E474">
        <v>151.55000000000001</v>
      </c>
      <c r="F474">
        <v>60</v>
      </c>
      <c r="G474">
        <v>125</v>
      </c>
      <c r="H474">
        <v>125</v>
      </c>
      <c r="I474">
        <v>80</v>
      </c>
      <c r="J474">
        <v>4</v>
      </c>
      <c r="K474" s="11" t="str">
        <f>VLOOKUP(materials[[#This Row],[Column1.projectId]],projects[],2,FALSE)</f>
        <v>Xypex</v>
      </c>
    </row>
    <row r="475" spans="1:11" x14ac:dyDescent="0.45">
      <c r="A475">
        <v>27</v>
      </c>
      <c r="B475">
        <v>479</v>
      </c>
      <c r="C475" t="s">
        <v>353</v>
      </c>
      <c r="D475">
        <v>1</v>
      </c>
      <c r="E475">
        <v>8.1999999999999993</v>
      </c>
      <c r="F475">
        <v>1</v>
      </c>
      <c r="G475">
        <v>0</v>
      </c>
      <c r="H475">
        <v>0</v>
      </c>
      <c r="I475">
        <v>0</v>
      </c>
      <c r="J475">
        <v>0</v>
      </c>
      <c r="K475" s="11" t="str">
        <f>VLOOKUP(materials[[#This Row],[Column1.projectId]],projects[],2,FALSE)</f>
        <v>Xypex</v>
      </c>
    </row>
    <row r="476" spans="1:11" x14ac:dyDescent="0.45">
      <c r="A476">
        <v>27</v>
      </c>
      <c r="B476">
        <v>480</v>
      </c>
      <c r="C476" t="s">
        <v>354</v>
      </c>
      <c r="D476">
        <v>0</v>
      </c>
      <c r="E476">
        <v>0</v>
      </c>
      <c r="F476">
        <v>0</v>
      </c>
      <c r="G476">
        <v>0</v>
      </c>
      <c r="H476">
        <v>150</v>
      </c>
      <c r="I476">
        <v>0</v>
      </c>
      <c r="J476">
        <v>0</v>
      </c>
      <c r="K476" s="11" t="str">
        <f>VLOOKUP(materials[[#This Row],[Column1.projectId]],projects[],2,FALSE)</f>
        <v>Xypex</v>
      </c>
    </row>
    <row r="477" spans="1:11" x14ac:dyDescent="0.45">
      <c r="A477">
        <v>27</v>
      </c>
      <c r="B477">
        <v>481</v>
      </c>
      <c r="C477" t="s">
        <v>355</v>
      </c>
      <c r="D477">
        <v>360</v>
      </c>
      <c r="E477">
        <v>34.081249999999997</v>
      </c>
      <c r="F477">
        <v>10</v>
      </c>
      <c r="G477">
        <v>75</v>
      </c>
      <c r="H477">
        <v>0</v>
      </c>
      <c r="I477">
        <v>60</v>
      </c>
      <c r="J477">
        <v>2</v>
      </c>
      <c r="K477" s="11" t="str">
        <f>VLOOKUP(materials[[#This Row],[Column1.projectId]],projects[],2,FALSE)</f>
        <v>Xypex</v>
      </c>
    </row>
    <row r="478" spans="1:11" x14ac:dyDescent="0.45">
      <c r="A478">
        <v>27</v>
      </c>
      <c r="B478">
        <v>482</v>
      </c>
      <c r="C478" t="s">
        <v>356</v>
      </c>
      <c r="D478">
        <v>200</v>
      </c>
      <c r="E478">
        <v>28.484749999999998</v>
      </c>
      <c r="F478">
        <v>10</v>
      </c>
      <c r="G478">
        <v>1</v>
      </c>
      <c r="H478">
        <v>1</v>
      </c>
      <c r="I478">
        <v>0</v>
      </c>
      <c r="J478">
        <v>0</v>
      </c>
      <c r="K478" s="11" t="str">
        <f>VLOOKUP(materials[[#This Row],[Column1.projectId]],projects[],2,FALSE)</f>
        <v>Xypex</v>
      </c>
    </row>
    <row r="479" spans="1:11" x14ac:dyDescent="0.45">
      <c r="A479">
        <v>26</v>
      </c>
      <c r="B479">
        <v>483</v>
      </c>
      <c r="C479" t="s">
        <v>357</v>
      </c>
      <c r="D479">
        <v>1</v>
      </c>
      <c r="E479">
        <v>307.5</v>
      </c>
      <c r="F479">
        <v>40</v>
      </c>
      <c r="G479">
        <v>0</v>
      </c>
      <c r="H479">
        <v>0</v>
      </c>
      <c r="I479">
        <v>0</v>
      </c>
      <c r="J479">
        <v>0</v>
      </c>
      <c r="K479" s="11" t="str">
        <f>VLOOKUP(materials[[#This Row],[Column1.projectId]],projects[],2,FALSE)</f>
        <v>Polyurethane Injection Block</v>
      </c>
    </row>
    <row r="480" spans="1:11" x14ac:dyDescent="0.45">
      <c r="A480">
        <v>26</v>
      </c>
      <c r="B480">
        <v>484</v>
      </c>
      <c r="C480" t="s">
        <v>358</v>
      </c>
      <c r="D480">
        <v>50</v>
      </c>
      <c r="E480">
        <v>16.164249999999999</v>
      </c>
      <c r="F480">
        <v>2</v>
      </c>
      <c r="G480">
        <v>0</v>
      </c>
      <c r="H480">
        <v>0</v>
      </c>
      <c r="I480">
        <v>0</v>
      </c>
      <c r="J480">
        <v>0</v>
      </c>
      <c r="K480" s="11" t="str">
        <f>VLOOKUP(materials[[#This Row],[Column1.projectId]],projects[],2,FALSE)</f>
        <v>Polyurethane Injection Block</v>
      </c>
    </row>
    <row r="481" spans="1:12" x14ac:dyDescent="0.45">
      <c r="A481">
        <v>26</v>
      </c>
      <c r="B481">
        <v>485</v>
      </c>
      <c r="C481" t="s">
        <v>359</v>
      </c>
      <c r="D481">
        <v>1</v>
      </c>
      <c r="E481">
        <v>48.99</v>
      </c>
      <c r="F481">
        <v>40</v>
      </c>
      <c r="G481">
        <v>0</v>
      </c>
      <c r="H481">
        <v>0</v>
      </c>
      <c r="I481">
        <v>0</v>
      </c>
      <c r="J481">
        <v>0</v>
      </c>
      <c r="K481" s="11" t="str">
        <f>VLOOKUP(materials[[#This Row],[Column1.projectId]],projects[],2,FALSE)</f>
        <v>Polyurethane Injection Block</v>
      </c>
    </row>
    <row r="482" spans="1:12" x14ac:dyDescent="0.45">
      <c r="A482">
        <v>26</v>
      </c>
      <c r="B482">
        <v>486</v>
      </c>
      <c r="C482" t="s">
        <v>360</v>
      </c>
      <c r="D482">
        <v>125</v>
      </c>
      <c r="E482">
        <v>503.28</v>
      </c>
      <c r="F482">
        <v>40</v>
      </c>
      <c r="G482">
        <v>0</v>
      </c>
      <c r="H482">
        <v>0</v>
      </c>
      <c r="I482">
        <v>0</v>
      </c>
      <c r="J482">
        <v>0</v>
      </c>
      <c r="K482" s="11" t="str">
        <f>VLOOKUP(materials[[#This Row],[Column1.projectId]],projects[],2,FALSE)</f>
        <v>Polyurethane Injection Block</v>
      </c>
    </row>
    <row r="483" spans="1:12" x14ac:dyDescent="0.45">
      <c r="A483">
        <v>26</v>
      </c>
      <c r="B483">
        <v>487</v>
      </c>
      <c r="C483" t="s">
        <v>361</v>
      </c>
      <c r="D483">
        <v>1</v>
      </c>
      <c r="E483">
        <v>2.0099999999999998</v>
      </c>
      <c r="F483">
        <v>0</v>
      </c>
      <c r="G483">
        <v>0</v>
      </c>
      <c r="H483">
        <v>0</v>
      </c>
      <c r="I483">
        <v>0</v>
      </c>
      <c r="J483">
        <v>0</v>
      </c>
      <c r="K483" s="11" t="str">
        <f>VLOOKUP(materials[[#This Row],[Column1.projectId]],projects[],2,FALSE)</f>
        <v>Polyurethane Injection Block</v>
      </c>
    </row>
    <row r="484" spans="1:12" x14ac:dyDescent="0.45">
      <c r="A484">
        <v>26</v>
      </c>
      <c r="B484">
        <v>488</v>
      </c>
      <c r="C484" t="s">
        <v>362</v>
      </c>
      <c r="D484">
        <v>0</v>
      </c>
      <c r="E484">
        <v>0</v>
      </c>
      <c r="F484">
        <v>53</v>
      </c>
      <c r="G484">
        <v>8</v>
      </c>
      <c r="H484">
        <v>18</v>
      </c>
      <c r="I484">
        <v>0</v>
      </c>
      <c r="J484">
        <v>0</v>
      </c>
      <c r="K484" s="11" t="str">
        <f>VLOOKUP(materials[[#This Row],[Column1.projectId]],projects[],2,FALSE)</f>
        <v>Polyurethane Injection Block</v>
      </c>
    </row>
    <row r="485" spans="1:12" x14ac:dyDescent="0.45">
      <c r="A485">
        <v>26</v>
      </c>
      <c r="B485">
        <v>489</v>
      </c>
      <c r="C485" t="s">
        <v>363</v>
      </c>
      <c r="D485">
        <v>0</v>
      </c>
      <c r="E485">
        <v>0</v>
      </c>
      <c r="F485">
        <v>0.5</v>
      </c>
      <c r="G485">
        <v>20</v>
      </c>
      <c r="H485">
        <v>20</v>
      </c>
      <c r="I485">
        <v>0</v>
      </c>
      <c r="J485">
        <v>0</v>
      </c>
      <c r="K485" s="11" t="str">
        <f>VLOOKUP(materials[[#This Row],[Column1.projectId]],projects[],2,FALSE)</f>
        <v>Polyurethane Injection Block</v>
      </c>
    </row>
    <row r="486" spans="1:12" x14ac:dyDescent="0.45">
      <c r="A486">
        <v>26</v>
      </c>
      <c r="B486">
        <v>490</v>
      </c>
      <c r="C486" t="s">
        <v>364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 s="11" t="str">
        <f>VLOOKUP(materials[[#This Row],[Column1.projectId]],projects[],2,FALSE)</f>
        <v>Polyurethane Injection Block</v>
      </c>
    </row>
    <row r="487" spans="1:12" x14ac:dyDescent="0.45">
      <c r="A487">
        <v>26</v>
      </c>
      <c r="B487">
        <v>491</v>
      </c>
      <c r="C487" t="s">
        <v>365</v>
      </c>
      <c r="D487">
        <v>1</v>
      </c>
      <c r="E487">
        <v>0.58425000000000005</v>
      </c>
      <c r="F487">
        <v>0</v>
      </c>
      <c r="G487">
        <v>1</v>
      </c>
      <c r="H487">
        <v>1</v>
      </c>
      <c r="I487">
        <v>0</v>
      </c>
      <c r="J487">
        <v>0</v>
      </c>
      <c r="K487" s="11" t="str">
        <f>VLOOKUP(materials[[#This Row],[Column1.projectId]],projects[],2,FALSE)</f>
        <v>Polyurethane Injection Block</v>
      </c>
    </row>
    <row r="488" spans="1:12" x14ac:dyDescent="0.45">
      <c r="A488">
        <v>26</v>
      </c>
      <c r="B488">
        <v>492</v>
      </c>
      <c r="C488" t="s">
        <v>366</v>
      </c>
      <c r="D488">
        <v>0</v>
      </c>
      <c r="E488">
        <v>0</v>
      </c>
      <c r="F488">
        <v>0</v>
      </c>
      <c r="G488">
        <v>100</v>
      </c>
      <c r="H488">
        <v>100</v>
      </c>
      <c r="I488">
        <v>0</v>
      </c>
      <c r="J488">
        <v>0</v>
      </c>
      <c r="K488" s="11" t="str">
        <f>VLOOKUP(materials[[#This Row],[Column1.projectId]],projects[],2,FALSE)</f>
        <v>Polyurethane Injection Block</v>
      </c>
    </row>
    <row r="489" spans="1:12" x14ac:dyDescent="0.45">
      <c r="A489">
        <v>28</v>
      </c>
      <c r="B489">
        <v>493</v>
      </c>
      <c r="C489" t="s">
        <v>55</v>
      </c>
      <c r="D489">
        <v>1</v>
      </c>
      <c r="E489">
        <v>5.74</v>
      </c>
      <c r="F489">
        <v>0.41</v>
      </c>
      <c r="G489">
        <v>0</v>
      </c>
      <c r="H489">
        <v>0</v>
      </c>
      <c r="I489">
        <v>31.82</v>
      </c>
      <c r="J489">
        <v>0</v>
      </c>
      <c r="K489" s="11" t="str">
        <f>VLOOKUP(materials[[#This Row],[Column1.projectId]],projects[],2,FALSE)</f>
        <v>Blank</v>
      </c>
    </row>
    <row r="490" spans="1:12" x14ac:dyDescent="0.45">
      <c r="A490">
        <v>28</v>
      </c>
      <c r="B490">
        <v>494</v>
      </c>
      <c r="C490" t="s">
        <v>76</v>
      </c>
      <c r="D490">
        <v>1</v>
      </c>
      <c r="E490">
        <v>31</v>
      </c>
      <c r="F490">
        <v>65</v>
      </c>
      <c r="G490">
        <v>10.3</v>
      </c>
      <c r="H490">
        <v>0</v>
      </c>
      <c r="I490">
        <v>0</v>
      </c>
      <c r="J490">
        <v>6.4</v>
      </c>
      <c r="K490" s="11" t="str">
        <f>VLOOKUP(materials[[#This Row],[Column1.projectId]],projects[],2,FALSE)</f>
        <v>Blank</v>
      </c>
    </row>
    <row r="491" spans="1:12" x14ac:dyDescent="0.45">
      <c r="A491">
        <v>28</v>
      </c>
      <c r="B491">
        <v>495</v>
      </c>
      <c r="C491" t="s">
        <v>57</v>
      </c>
      <c r="D491">
        <v>1</v>
      </c>
      <c r="E491">
        <v>3.75</v>
      </c>
      <c r="F491">
        <v>3</v>
      </c>
      <c r="G491">
        <v>1.8</v>
      </c>
      <c r="H491">
        <v>0</v>
      </c>
      <c r="I491">
        <v>0</v>
      </c>
      <c r="J491">
        <v>15</v>
      </c>
      <c r="K491" s="11" t="str">
        <f>VLOOKUP(materials[[#This Row],[Column1.projectId]],projects[],2,FALSE)</f>
        <v>Blank</v>
      </c>
      <c r="L491" t="s">
        <v>514</v>
      </c>
    </row>
    <row r="492" spans="1:12" x14ac:dyDescent="0.45">
      <c r="A492">
        <v>30</v>
      </c>
      <c r="B492">
        <v>496</v>
      </c>
      <c r="C492" t="s">
        <v>197</v>
      </c>
      <c r="D492">
        <v>1</v>
      </c>
      <c r="E492">
        <v>1.49</v>
      </c>
      <c r="F492">
        <v>0</v>
      </c>
      <c r="G492">
        <v>20</v>
      </c>
      <c r="H492">
        <v>0</v>
      </c>
      <c r="I492">
        <v>0</v>
      </c>
      <c r="J492">
        <v>6</v>
      </c>
      <c r="K492" s="11" t="str">
        <f>VLOOKUP(materials[[#This Row],[Column1.projectId]],projects[],2,FALSE)</f>
        <v>Paraseal GM</v>
      </c>
      <c r="L492" t="s">
        <v>514</v>
      </c>
    </row>
    <row r="493" spans="1:12" x14ac:dyDescent="0.45">
      <c r="A493">
        <v>30</v>
      </c>
      <c r="B493">
        <v>497</v>
      </c>
      <c r="C493" t="s">
        <v>515</v>
      </c>
      <c r="D493">
        <v>25</v>
      </c>
      <c r="E493">
        <v>82.8</v>
      </c>
      <c r="F493">
        <v>0</v>
      </c>
      <c r="G493">
        <v>0</v>
      </c>
      <c r="H493">
        <v>0</v>
      </c>
      <c r="I493">
        <v>0</v>
      </c>
      <c r="J493">
        <v>0</v>
      </c>
      <c r="K493" s="11" t="str">
        <f>VLOOKUP(materials[[#This Row],[Column1.projectId]],projects[],2,FALSE)</f>
        <v>Paraseal GM</v>
      </c>
      <c r="L493" t="s">
        <v>514</v>
      </c>
    </row>
    <row r="494" spans="1:12" x14ac:dyDescent="0.45">
      <c r="A494">
        <v>30</v>
      </c>
      <c r="B494">
        <v>498</v>
      </c>
      <c r="C494" t="s">
        <v>199</v>
      </c>
      <c r="D494">
        <v>30</v>
      </c>
      <c r="E494">
        <v>9.36</v>
      </c>
      <c r="F494">
        <v>0</v>
      </c>
      <c r="G494">
        <v>0</v>
      </c>
      <c r="H494">
        <v>0</v>
      </c>
      <c r="I494">
        <v>0</v>
      </c>
      <c r="J494">
        <v>0</v>
      </c>
      <c r="K494" s="11" t="str">
        <f>VLOOKUP(materials[[#This Row],[Column1.projectId]],projects[],2,FALSE)</f>
        <v>Paraseal GM</v>
      </c>
      <c r="L494" t="s">
        <v>514</v>
      </c>
    </row>
    <row r="495" spans="1:12" x14ac:dyDescent="0.45">
      <c r="A495">
        <v>30</v>
      </c>
      <c r="B495">
        <v>499</v>
      </c>
      <c r="C495" t="s">
        <v>200</v>
      </c>
      <c r="D495">
        <v>0</v>
      </c>
      <c r="E495">
        <v>315</v>
      </c>
      <c r="F495">
        <v>50</v>
      </c>
      <c r="G495">
        <v>1000</v>
      </c>
      <c r="H495">
        <v>0</v>
      </c>
      <c r="I495">
        <v>0</v>
      </c>
      <c r="J495">
        <v>0</v>
      </c>
      <c r="K495" s="11" t="str">
        <f>VLOOKUP(materials[[#This Row],[Column1.projectId]],projects[],2,FALSE)</f>
        <v>Paraseal GM</v>
      </c>
      <c r="L495" t="s">
        <v>514</v>
      </c>
    </row>
    <row r="496" spans="1:12" x14ac:dyDescent="0.45">
      <c r="A496">
        <v>30</v>
      </c>
      <c r="B496">
        <v>500</v>
      </c>
      <c r="C496" t="s">
        <v>201</v>
      </c>
      <c r="D496">
        <v>35</v>
      </c>
      <c r="E496">
        <v>27.55</v>
      </c>
      <c r="F496">
        <v>50</v>
      </c>
      <c r="G496">
        <v>0</v>
      </c>
      <c r="H496">
        <v>150</v>
      </c>
      <c r="I496">
        <v>0</v>
      </c>
      <c r="J496">
        <v>0</v>
      </c>
      <c r="K496" s="11" t="str">
        <f>VLOOKUP(materials[[#This Row],[Column1.projectId]],projects[],2,FALSE)</f>
        <v>Paraseal GM</v>
      </c>
      <c r="L496" t="s">
        <v>514</v>
      </c>
    </row>
    <row r="497" spans="1:12" x14ac:dyDescent="0.45">
      <c r="A497">
        <v>30</v>
      </c>
      <c r="B497">
        <v>501</v>
      </c>
      <c r="C497" t="s">
        <v>516</v>
      </c>
      <c r="D497">
        <v>65</v>
      </c>
      <c r="E497">
        <v>143.62</v>
      </c>
      <c r="F497">
        <v>92</v>
      </c>
      <c r="G497">
        <v>150</v>
      </c>
      <c r="H497">
        <v>80</v>
      </c>
      <c r="I497">
        <v>0</v>
      </c>
      <c r="J497">
        <v>18</v>
      </c>
      <c r="K497" s="11" t="str">
        <f>VLOOKUP(materials[[#This Row],[Column1.projectId]],projects[],2,FALSE)</f>
        <v>Paraseal GM</v>
      </c>
      <c r="L497" t="s">
        <v>514</v>
      </c>
    </row>
    <row r="498" spans="1:12" x14ac:dyDescent="0.45">
      <c r="A498">
        <v>30</v>
      </c>
      <c r="B498">
        <v>502</v>
      </c>
      <c r="C498" t="s">
        <v>517</v>
      </c>
      <c r="D498">
        <v>195</v>
      </c>
      <c r="E498">
        <v>143.62</v>
      </c>
      <c r="F498">
        <v>92</v>
      </c>
      <c r="G498">
        <v>0</v>
      </c>
      <c r="H498">
        <v>50</v>
      </c>
      <c r="I498">
        <v>0</v>
      </c>
      <c r="J498">
        <v>6</v>
      </c>
      <c r="K498" s="11" t="str">
        <f>VLOOKUP(materials[[#This Row],[Column1.projectId]],projects[],2,FALSE)</f>
        <v>Paraseal GM</v>
      </c>
      <c r="L498" t="s">
        <v>514</v>
      </c>
    </row>
    <row r="499" spans="1:12" x14ac:dyDescent="0.45">
      <c r="A499">
        <v>30</v>
      </c>
      <c r="B499">
        <v>503</v>
      </c>
      <c r="C499" t="s">
        <v>204</v>
      </c>
      <c r="D499">
        <v>0</v>
      </c>
      <c r="E499">
        <v>0</v>
      </c>
      <c r="F499">
        <v>50</v>
      </c>
      <c r="G499">
        <v>0</v>
      </c>
      <c r="H499">
        <v>0</v>
      </c>
      <c r="I499">
        <v>0</v>
      </c>
      <c r="J499">
        <v>0</v>
      </c>
      <c r="K499" s="11" t="str">
        <f>VLOOKUP(materials[[#This Row],[Column1.projectId]],projects[],2,FALSE)</f>
        <v>Paraseal GM</v>
      </c>
      <c r="L499" t="s">
        <v>514</v>
      </c>
    </row>
    <row r="500" spans="1:12" x14ac:dyDescent="0.45">
      <c r="A500">
        <v>30</v>
      </c>
      <c r="B500">
        <v>504</v>
      </c>
      <c r="C500" t="s">
        <v>205</v>
      </c>
      <c r="D500">
        <v>1000</v>
      </c>
      <c r="E500">
        <v>191.32</v>
      </c>
      <c r="F500">
        <v>0</v>
      </c>
      <c r="G500">
        <v>0</v>
      </c>
      <c r="H500">
        <v>0</v>
      </c>
      <c r="I500">
        <v>0</v>
      </c>
      <c r="J500">
        <v>0</v>
      </c>
      <c r="K500" s="11" t="str">
        <f>VLOOKUP(materials[[#This Row],[Column1.projectId]],projects[],2,FALSE)</f>
        <v>Paraseal GM</v>
      </c>
      <c r="L500" t="s">
        <v>514</v>
      </c>
    </row>
    <row r="501" spans="1:12" x14ac:dyDescent="0.45">
      <c r="A501">
        <v>30</v>
      </c>
      <c r="B501">
        <v>505</v>
      </c>
      <c r="C501" t="s">
        <v>206</v>
      </c>
      <c r="D501">
        <v>20</v>
      </c>
      <c r="E501">
        <v>29.73</v>
      </c>
      <c r="F501">
        <v>50</v>
      </c>
      <c r="G501">
        <v>50</v>
      </c>
      <c r="H501">
        <v>0</v>
      </c>
      <c r="I501">
        <v>0</v>
      </c>
      <c r="J501">
        <v>6</v>
      </c>
      <c r="K501" s="11" t="str">
        <f>VLOOKUP(materials[[#This Row],[Column1.projectId]],projects[],2,FALSE)</f>
        <v>Paraseal GM</v>
      </c>
      <c r="L501" t="s">
        <v>514</v>
      </c>
    </row>
    <row r="502" spans="1:12" x14ac:dyDescent="0.45">
      <c r="A502">
        <v>30</v>
      </c>
      <c r="B502">
        <v>506</v>
      </c>
      <c r="C502" t="s">
        <v>207</v>
      </c>
      <c r="D502">
        <v>24</v>
      </c>
      <c r="E502">
        <v>0.35</v>
      </c>
      <c r="F502">
        <v>0</v>
      </c>
      <c r="G502">
        <v>0</v>
      </c>
      <c r="H502">
        <v>0</v>
      </c>
      <c r="I502">
        <v>0</v>
      </c>
      <c r="J502">
        <v>0</v>
      </c>
      <c r="K502" s="11" t="str">
        <f>VLOOKUP(materials[[#This Row],[Column1.projectId]],projects[],2,FALSE)</f>
        <v>Paraseal GM</v>
      </c>
      <c r="L502" t="s">
        <v>514</v>
      </c>
    </row>
    <row r="503" spans="1:12" x14ac:dyDescent="0.45">
      <c r="A503">
        <v>30</v>
      </c>
      <c r="B503">
        <v>507</v>
      </c>
      <c r="C503" t="s">
        <v>209</v>
      </c>
      <c r="D503">
        <v>0</v>
      </c>
      <c r="E503">
        <v>10.25</v>
      </c>
      <c r="F503">
        <v>0</v>
      </c>
      <c r="G503">
        <v>0</v>
      </c>
      <c r="H503">
        <v>0</v>
      </c>
      <c r="I503">
        <v>0</v>
      </c>
      <c r="J503">
        <v>0</v>
      </c>
      <c r="K503" s="11" t="str">
        <f>VLOOKUP(materials[[#This Row],[Column1.projectId]],projects[],2,FALSE)</f>
        <v>Paraseal GM</v>
      </c>
      <c r="L503" t="s">
        <v>514</v>
      </c>
    </row>
    <row r="504" spans="1:12" x14ac:dyDescent="0.45">
      <c r="A504">
        <v>30</v>
      </c>
      <c r="B504">
        <v>508</v>
      </c>
      <c r="C504" t="s">
        <v>210</v>
      </c>
      <c r="D504">
        <v>0</v>
      </c>
      <c r="E504">
        <v>4.07</v>
      </c>
      <c r="F504">
        <v>0</v>
      </c>
      <c r="G504">
        <v>0</v>
      </c>
      <c r="H504">
        <v>0</v>
      </c>
      <c r="I504">
        <v>0</v>
      </c>
      <c r="J504">
        <v>0</v>
      </c>
      <c r="K504" s="11" t="str">
        <f>VLOOKUP(materials[[#This Row],[Column1.projectId]],projects[],2,FALSE)</f>
        <v>Paraseal GM</v>
      </c>
      <c r="L504" t="s">
        <v>514</v>
      </c>
    </row>
    <row r="505" spans="1:12" x14ac:dyDescent="0.45">
      <c r="A505">
        <v>30</v>
      </c>
      <c r="B505">
        <v>509</v>
      </c>
      <c r="C505" t="s">
        <v>518</v>
      </c>
      <c r="D505">
        <v>25</v>
      </c>
      <c r="E505">
        <v>38.619999999999997</v>
      </c>
      <c r="F505">
        <v>0</v>
      </c>
      <c r="G505">
        <v>0</v>
      </c>
      <c r="H505">
        <v>200</v>
      </c>
      <c r="I505">
        <v>0</v>
      </c>
      <c r="J505">
        <v>0</v>
      </c>
      <c r="K505" s="11" t="str">
        <f>VLOOKUP(materials[[#This Row],[Column1.projectId]],projects[],2,FALSE)</f>
        <v>Paraseal GM</v>
      </c>
      <c r="L505" t="s">
        <v>514</v>
      </c>
    </row>
    <row r="506" spans="1:12" x14ac:dyDescent="0.45">
      <c r="A506">
        <v>30</v>
      </c>
      <c r="B506">
        <v>510</v>
      </c>
      <c r="C506" t="s">
        <v>211</v>
      </c>
      <c r="D506">
        <v>182</v>
      </c>
      <c r="E506">
        <v>168.62</v>
      </c>
      <c r="F506">
        <v>40</v>
      </c>
      <c r="G506">
        <v>0</v>
      </c>
      <c r="H506">
        <v>200</v>
      </c>
      <c r="I506">
        <v>0</v>
      </c>
      <c r="J506">
        <v>6</v>
      </c>
      <c r="K506" s="11" t="str">
        <f>VLOOKUP(materials[[#This Row],[Column1.projectId]],projects[],2,FALSE)</f>
        <v>Paraseal GM</v>
      </c>
      <c r="L506" t="s">
        <v>514</v>
      </c>
    </row>
    <row r="507" spans="1:12" x14ac:dyDescent="0.45">
      <c r="A507">
        <v>30</v>
      </c>
      <c r="B507">
        <v>511</v>
      </c>
      <c r="C507" t="s">
        <v>519</v>
      </c>
      <c r="D507">
        <v>182</v>
      </c>
      <c r="E507">
        <v>73.290000000000006</v>
      </c>
      <c r="F507">
        <v>60</v>
      </c>
      <c r="G507">
        <v>0</v>
      </c>
      <c r="H507">
        <v>200</v>
      </c>
      <c r="I507">
        <v>0</v>
      </c>
      <c r="J507">
        <v>6</v>
      </c>
      <c r="K507" s="11" t="str">
        <f>VLOOKUP(materials[[#This Row],[Column1.projectId]],projects[],2,FALSE)</f>
        <v>Paraseal GM</v>
      </c>
      <c r="L507" t="s">
        <v>514</v>
      </c>
    </row>
    <row r="508" spans="1:12" x14ac:dyDescent="0.45">
      <c r="A508">
        <v>30</v>
      </c>
      <c r="B508">
        <v>512</v>
      </c>
      <c r="C508" t="s">
        <v>213</v>
      </c>
      <c r="D508">
        <v>1</v>
      </c>
      <c r="E508">
        <v>26.73</v>
      </c>
      <c r="F508">
        <v>0</v>
      </c>
      <c r="G508">
        <v>0</v>
      </c>
      <c r="H508">
        <v>50</v>
      </c>
      <c r="I508">
        <v>0</v>
      </c>
      <c r="J508">
        <v>0</v>
      </c>
      <c r="K508" s="11" t="str">
        <f>VLOOKUP(materials[[#This Row],[Column1.projectId]],projects[],2,FALSE)</f>
        <v>Paraseal GM</v>
      </c>
      <c r="L508" t="s">
        <v>514</v>
      </c>
    </row>
    <row r="509" spans="1:12" x14ac:dyDescent="0.45">
      <c r="A509">
        <v>30</v>
      </c>
      <c r="B509">
        <v>513</v>
      </c>
      <c r="C509" t="s">
        <v>520</v>
      </c>
      <c r="D509">
        <v>1</v>
      </c>
      <c r="E509">
        <v>4.1100000000000003</v>
      </c>
      <c r="F509">
        <v>20</v>
      </c>
      <c r="G509">
        <v>0</v>
      </c>
      <c r="H509">
        <v>50</v>
      </c>
      <c r="I509">
        <v>0</v>
      </c>
      <c r="J509">
        <v>6</v>
      </c>
      <c r="K509" s="11" t="str">
        <f>VLOOKUP(materials[[#This Row],[Column1.projectId]],projects[],2,FALSE)</f>
        <v>Paraseal GM</v>
      </c>
      <c r="L509" t="s">
        <v>514</v>
      </c>
    </row>
    <row r="510" spans="1:12" x14ac:dyDescent="0.45">
      <c r="A510">
        <v>30</v>
      </c>
      <c r="B510">
        <v>514</v>
      </c>
      <c r="C510" t="s">
        <v>215</v>
      </c>
      <c r="D510">
        <v>6</v>
      </c>
      <c r="E510">
        <v>20</v>
      </c>
      <c r="F510">
        <v>0</v>
      </c>
      <c r="G510">
        <v>0</v>
      </c>
      <c r="H510">
        <v>0</v>
      </c>
      <c r="I510">
        <v>0</v>
      </c>
      <c r="J510">
        <v>6</v>
      </c>
      <c r="K510" s="11" t="str">
        <f>VLOOKUP(materials[[#This Row],[Column1.projectId]],projects[],2,FALSE)</f>
        <v>Paraseal GM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0307-B526-4478-B63F-E789C8CC82A6}">
  <sheetPr codeName="Sheet4"/>
  <dimension ref="A1:F617"/>
  <sheetViews>
    <sheetView workbookViewId="0">
      <selection activeCell="F10" sqref="F10:F595"/>
    </sheetView>
  </sheetViews>
  <sheetFormatPr defaultRowHeight="14.25" x14ac:dyDescent="0.45"/>
  <cols>
    <col min="1" max="1" width="36.9296875" bestFit="1" customWidth="1"/>
    <col min="2" max="2" width="15.19921875" bestFit="1" customWidth="1"/>
    <col min="3" max="3" width="18.1328125" bestFit="1" customWidth="1"/>
    <col min="4" max="4" width="16.59765625" bestFit="1" customWidth="1"/>
    <col min="5" max="5" width="23.33203125" bestFit="1" customWidth="1"/>
    <col min="6" max="6" width="10" bestFit="1" customWidth="1"/>
  </cols>
  <sheetData>
    <row r="1" spans="1:6" x14ac:dyDescent="0.45">
      <c r="A1" t="s">
        <v>420</v>
      </c>
      <c r="B1" t="s">
        <v>421</v>
      </c>
      <c r="C1" t="s">
        <v>5</v>
      </c>
      <c r="D1" t="s">
        <v>422</v>
      </c>
      <c r="E1" t="s">
        <v>505</v>
      </c>
      <c r="F1" t="s">
        <v>506</v>
      </c>
    </row>
    <row r="2" spans="1:6" x14ac:dyDescent="0.45">
      <c r="A2" t="s">
        <v>423</v>
      </c>
      <c r="B2">
        <v>1.0015000000000001</v>
      </c>
      <c r="C2">
        <v>1</v>
      </c>
      <c r="D2">
        <v>1</v>
      </c>
      <c r="E2" s="11" t="str">
        <f>VLOOKUP(labors[[#This Row],[Column1.projectId]],projects[],2,FALSE)</f>
        <v>Weather Wear</v>
      </c>
    </row>
    <row r="3" spans="1:6" x14ac:dyDescent="0.45">
      <c r="A3" t="s">
        <v>424</v>
      </c>
      <c r="B3">
        <v>-0.125</v>
      </c>
      <c r="C3">
        <v>1</v>
      </c>
      <c r="D3">
        <v>2</v>
      </c>
      <c r="E3" s="11" t="str">
        <f>VLOOKUP(labors[[#This Row],[Column1.projectId]],projects[],2,FALSE)</f>
        <v>Weather Wear</v>
      </c>
    </row>
    <row r="4" spans="1:6" x14ac:dyDescent="0.45">
      <c r="A4" t="s">
        <v>425</v>
      </c>
      <c r="B4">
        <v>0.06</v>
      </c>
      <c r="C4">
        <v>1</v>
      </c>
      <c r="D4">
        <v>3</v>
      </c>
      <c r="E4" s="11" t="str">
        <f>VLOOKUP(labors[[#This Row],[Column1.projectId]],projects[],2,FALSE)</f>
        <v>Weather Wear</v>
      </c>
    </row>
    <row r="5" spans="1:6" x14ac:dyDescent="0.45">
      <c r="A5" t="s">
        <v>426</v>
      </c>
      <c r="B5">
        <v>0.13</v>
      </c>
      <c r="C5">
        <v>1</v>
      </c>
      <c r="D5">
        <v>4</v>
      </c>
      <c r="E5" s="11" t="str">
        <f>VLOOKUP(labors[[#This Row],[Column1.projectId]],projects[],2,FALSE)</f>
        <v>Weather Wear</v>
      </c>
    </row>
    <row r="6" spans="1:6" x14ac:dyDescent="0.45">
      <c r="A6" t="s">
        <v>427</v>
      </c>
      <c r="B6">
        <v>0.1</v>
      </c>
      <c r="C6">
        <v>1</v>
      </c>
      <c r="D6">
        <v>5</v>
      </c>
      <c r="E6" s="11" t="str">
        <f>VLOOKUP(labors[[#This Row],[Column1.projectId]],projects[],2,FALSE)</f>
        <v>Weather Wear</v>
      </c>
    </row>
    <row r="7" spans="1:6" x14ac:dyDescent="0.45">
      <c r="A7" t="s">
        <v>428</v>
      </c>
      <c r="B7">
        <v>0.1515</v>
      </c>
      <c r="C7">
        <v>1</v>
      </c>
      <c r="D7">
        <v>6</v>
      </c>
      <c r="E7" s="11" t="str">
        <f>VLOOKUP(labors[[#This Row],[Column1.projectId]],projects[],2,FALSE)</f>
        <v>Weather Wear</v>
      </c>
    </row>
    <row r="8" spans="1:6" x14ac:dyDescent="0.45">
      <c r="A8" t="s">
        <v>429</v>
      </c>
      <c r="B8">
        <v>0.08</v>
      </c>
      <c r="C8">
        <v>1</v>
      </c>
      <c r="D8">
        <v>7</v>
      </c>
      <c r="E8" s="11" t="str">
        <f>VLOOKUP(labors[[#This Row],[Column1.projectId]],projects[],2,FALSE)</f>
        <v>Weather Wear</v>
      </c>
    </row>
    <row r="9" spans="1:6" x14ac:dyDescent="0.45">
      <c r="A9" t="s">
        <v>430</v>
      </c>
      <c r="B9">
        <v>0.35</v>
      </c>
      <c r="C9">
        <v>1</v>
      </c>
      <c r="D9">
        <v>8</v>
      </c>
      <c r="E9" s="11" t="str">
        <f>VLOOKUP(labors[[#This Row],[Column1.projectId]],projects[],2,FALSE)</f>
        <v>Weather Wear</v>
      </c>
    </row>
    <row r="10" spans="1:6" x14ac:dyDescent="0.45">
      <c r="A10" t="s">
        <v>431</v>
      </c>
      <c r="B10">
        <v>0</v>
      </c>
      <c r="C10">
        <v>1</v>
      </c>
      <c r="D10">
        <v>9</v>
      </c>
      <c r="E10" s="11" t="str">
        <f>VLOOKUP(labors[[#This Row],[Column1.projectId]],projects[],2,FALSE)</f>
        <v>Weather Wear</v>
      </c>
    </row>
    <row r="11" spans="1:6" x14ac:dyDescent="0.45">
      <c r="A11" t="s">
        <v>432</v>
      </c>
      <c r="B11">
        <v>-0.6</v>
      </c>
      <c r="C11">
        <v>1</v>
      </c>
      <c r="D11">
        <v>10</v>
      </c>
      <c r="E11" s="11" t="str">
        <f>VLOOKUP(labors[[#This Row],[Column1.projectId]],projects[],2,FALSE)</f>
        <v>Weather Wear</v>
      </c>
    </row>
    <row r="12" spans="1:6" x14ac:dyDescent="0.45">
      <c r="A12" t="s">
        <v>433</v>
      </c>
      <c r="B12">
        <v>0.65</v>
      </c>
      <c r="C12">
        <v>1</v>
      </c>
      <c r="D12">
        <v>11</v>
      </c>
      <c r="E12" s="11" t="str">
        <f>VLOOKUP(labors[[#This Row],[Column1.projectId]],projects[],2,FALSE)</f>
        <v>Weather Wear</v>
      </c>
    </row>
    <row r="13" spans="1:6" x14ac:dyDescent="0.45">
      <c r="A13" t="s">
        <v>434</v>
      </c>
      <c r="B13">
        <v>2.6249999999999999E-2</v>
      </c>
      <c r="C13">
        <v>1</v>
      </c>
      <c r="D13">
        <v>12</v>
      </c>
      <c r="E13" s="11" t="str">
        <f>VLOOKUP(labors[[#This Row],[Column1.projectId]],projects[],2,FALSE)</f>
        <v>Weather Wear</v>
      </c>
    </row>
    <row r="14" spans="1:6" x14ac:dyDescent="0.45">
      <c r="A14" t="s">
        <v>435</v>
      </c>
      <c r="B14">
        <v>0.03</v>
      </c>
      <c r="C14">
        <v>1</v>
      </c>
      <c r="D14">
        <v>13</v>
      </c>
      <c r="E14" s="11" t="str">
        <f>VLOOKUP(labors[[#This Row],[Column1.projectId]],projects[],2,FALSE)</f>
        <v>Weather Wear</v>
      </c>
    </row>
    <row r="15" spans="1:6" x14ac:dyDescent="0.45">
      <c r="A15" t="s">
        <v>436</v>
      </c>
      <c r="B15">
        <v>0.05</v>
      </c>
      <c r="C15">
        <v>1</v>
      </c>
      <c r="D15">
        <v>14</v>
      </c>
      <c r="E15" s="11" t="str">
        <f>VLOOKUP(labors[[#This Row],[Column1.projectId]],projects[],2,FALSE)</f>
        <v>Weather Wear</v>
      </c>
    </row>
    <row r="16" spans="1:6" x14ac:dyDescent="0.45">
      <c r="A16" t="s">
        <v>437</v>
      </c>
      <c r="B16">
        <v>0</v>
      </c>
      <c r="C16">
        <v>1</v>
      </c>
      <c r="D16">
        <v>15</v>
      </c>
      <c r="E16" s="11" t="str">
        <f>VLOOKUP(labors[[#This Row],[Column1.projectId]],projects[],2,FALSE)</f>
        <v>Weather Wear</v>
      </c>
    </row>
    <row r="17" spans="1:5" x14ac:dyDescent="0.45">
      <c r="A17" t="s">
        <v>438</v>
      </c>
      <c r="B17">
        <v>0</v>
      </c>
      <c r="C17">
        <v>1</v>
      </c>
      <c r="D17">
        <v>16</v>
      </c>
      <c r="E17" s="11" t="str">
        <f>VLOOKUP(labors[[#This Row],[Column1.projectId]],projects[],2,FALSE)</f>
        <v>Weather Wear</v>
      </c>
    </row>
    <row r="18" spans="1:5" x14ac:dyDescent="0.45">
      <c r="A18" t="s">
        <v>439</v>
      </c>
      <c r="B18">
        <v>0</v>
      </c>
      <c r="C18">
        <v>1</v>
      </c>
      <c r="D18">
        <v>17</v>
      </c>
      <c r="E18" s="11" t="str">
        <f>VLOOKUP(labors[[#This Row],[Column1.projectId]],projects[],2,FALSE)</f>
        <v>Weather Wear</v>
      </c>
    </row>
    <row r="19" spans="1:5" x14ac:dyDescent="0.45">
      <c r="A19" t="s">
        <v>440</v>
      </c>
      <c r="B19">
        <v>0.35</v>
      </c>
      <c r="C19">
        <v>1</v>
      </c>
      <c r="D19">
        <v>18</v>
      </c>
      <c r="E19" s="11" t="str">
        <f>VLOOKUP(labors[[#This Row],[Column1.projectId]],projects[],2,FALSE)</f>
        <v>Weather Wear</v>
      </c>
    </row>
    <row r="20" spans="1:5" x14ac:dyDescent="0.45">
      <c r="A20" t="s">
        <v>441</v>
      </c>
      <c r="B20">
        <v>0.41</v>
      </c>
      <c r="C20">
        <v>1</v>
      </c>
      <c r="D20">
        <v>19</v>
      </c>
      <c r="E20" s="11" t="str">
        <f>VLOOKUP(labors[[#This Row],[Column1.projectId]],projects[],2,FALSE)</f>
        <v>Weather Wear</v>
      </c>
    </row>
    <row r="21" spans="1:5" x14ac:dyDescent="0.45">
      <c r="A21" t="s">
        <v>442</v>
      </c>
      <c r="B21">
        <v>0.35</v>
      </c>
      <c r="C21">
        <v>1</v>
      </c>
      <c r="D21">
        <v>20</v>
      </c>
      <c r="E21" s="11" t="str">
        <f>VLOOKUP(labors[[#This Row],[Column1.projectId]],projects[],2,FALSE)</f>
        <v>Weather Wear</v>
      </c>
    </row>
    <row r="22" spans="1:5" x14ac:dyDescent="0.45">
      <c r="A22" t="s">
        <v>443</v>
      </c>
      <c r="B22">
        <v>0.85</v>
      </c>
      <c r="C22">
        <v>1</v>
      </c>
      <c r="D22">
        <v>21</v>
      </c>
      <c r="E22" s="11" t="str">
        <f>VLOOKUP(labors[[#This Row],[Column1.projectId]],projects[],2,FALSE)</f>
        <v>Weather Wear</v>
      </c>
    </row>
    <row r="23" spans="1:5" x14ac:dyDescent="0.45">
      <c r="A23" t="s">
        <v>423</v>
      </c>
      <c r="B23">
        <v>1.0015000000000001</v>
      </c>
      <c r="C23">
        <v>2</v>
      </c>
      <c r="D23">
        <v>22</v>
      </c>
      <c r="E23" s="11" t="str">
        <f>VLOOKUP(labors[[#This Row],[Column1.projectId]],projects[],2,FALSE)</f>
        <v>Weather Wear Rehab</v>
      </c>
    </row>
    <row r="24" spans="1:5" x14ac:dyDescent="0.45">
      <c r="A24" t="s">
        <v>424</v>
      </c>
      <c r="B24">
        <v>-0.125</v>
      </c>
      <c r="C24">
        <v>2</v>
      </c>
      <c r="D24">
        <v>23</v>
      </c>
      <c r="E24" s="11" t="str">
        <f>VLOOKUP(labors[[#This Row],[Column1.projectId]],projects[],2,FALSE)</f>
        <v>Weather Wear Rehab</v>
      </c>
    </row>
    <row r="25" spans="1:5" x14ac:dyDescent="0.45">
      <c r="A25" t="s">
        <v>425</v>
      </c>
      <c r="B25">
        <v>0.06</v>
      </c>
      <c r="C25">
        <v>2</v>
      </c>
      <c r="D25">
        <v>24</v>
      </c>
      <c r="E25" s="11" t="str">
        <f>VLOOKUP(labors[[#This Row],[Column1.projectId]],projects[],2,FALSE)</f>
        <v>Weather Wear Rehab</v>
      </c>
    </row>
    <row r="26" spans="1:5" x14ac:dyDescent="0.45">
      <c r="A26" t="s">
        <v>426</v>
      </c>
      <c r="B26">
        <v>0.13</v>
      </c>
      <c r="C26">
        <v>2</v>
      </c>
      <c r="D26">
        <v>25</v>
      </c>
      <c r="E26" s="11" t="str">
        <f>VLOOKUP(labors[[#This Row],[Column1.projectId]],projects[],2,FALSE)</f>
        <v>Weather Wear Rehab</v>
      </c>
    </row>
    <row r="27" spans="1:5" x14ac:dyDescent="0.45">
      <c r="A27" t="s">
        <v>427</v>
      </c>
      <c r="B27">
        <v>0.1</v>
      </c>
      <c r="C27">
        <v>2</v>
      </c>
      <c r="D27">
        <v>26</v>
      </c>
      <c r="E27" s="11" t="str">
        <f>VLOOKUP(labors[[#This Row],[Column1.projectId]],projects[],2,FALSE)</f>
        <v>Weather Wear Rehab</v>
      </c>
    </row>
    <row r="28" spans="1:5" x14ac:dyDescent="0.45">
      <c r="A28" t="s">
        <v>428</v>
      </c>
      <c r="B28">
        <v>0.1515</v>
      </c>
      <c r="C28">
        <v>2</v>
      </c>
      <c r="D28">
        <v>27</v>
      </c>
      <c r="E28" s="11" t="str">
        <f>VLOOKUP(labors[[#This Row],[Column1.projectId]],projects[],2,FALSE)</f>
        <v>Weather Wear Rehab</v>
      </c>
    </row>
    <row r="29" spans="1:5" x14ac:dyDescent="0.45">
      <c r="A29" t="s">
        <v>429</v>
      </c>
      <c r="B29">
        <v>0.08</v>
      </c>
      <c r="C29">
        <v>2</v>
      </c>
      <c r="D29">
        <v>28</v>
      </c>
      <c r="E29" s="11" t="str">
        <f>VLOOKUP(labors[[#This Row],[Column1.projectId]],projects[],2,FALSE)</f>
        <v>Weather Wear Rehab</v>
      </c>
    </row>
    <row r="30" spans="1:5" x14ac:dyDescent="0.45">
      <c r="A30" t="s">
        <v>430</v>
      </c>
      <c r="B30">
        <v>0.35</v>
      </c>
      <c r="C30">
        <v>2</v>
      </c>
      <c r="D30">
        <v>29</v>
      </c>
      <c r="E30" s="11" t="str">
        <f>VLOOKUP(labors[[#This Row],[Column1.projectId]],projects[],2,FALSE)</f>
        <v>Weather Wear Rehab</v>
      </c>
    </row>
    <row r="31" spans="1:5" x14ac:dyDescent="0.45">
      <c r="A31" t="s">
        <v>431</v>
      </c>
      <c r="B31">
        <v>0</v>
      </c>
      <c r="C31">
        <v>2</v>
      </c>
      <c r="D31">
        <v>30</v>
      </c>
      <c r="E31" s="11" t="str">
        <f>VLOOKUP(labors[[#This Row],[Column1.projectId]],projects[],2,FALSE)</f>
        <v>Weather Wear Rehab</v>
      </c>
    </row>
    <row r="32" spans="1:5" x14ac:dyDescent="0.45">
      <c r="A32" t="s">
        <v>432</v>
      </c>
      <c r="B32">
        <v>-0.6</v>
      </c>
      <c r="C32">
        <v>2</v>
      </c>
      <c r="D32">
        <v>31</v>
      </c>
      <c r="E32" s="11" t="str">
        <f>VLOOKUP(labors[[#This Row],[Column1.projectId]],projects[],2,FALSE)</f>
        <v>Weather Wear Rehab</v>
      </c>
    </row>
    <row r="33" spans="1:5" x14ac:dyDescent="0.45">
      <c r="A33" t="s">
        <v>433</v>
      </c>
      <c r="B33">
        <v>0.65</v>
      </c>
      <c r="C33">
        <v>2</v>
      </c>
      <c r="D33">
        <v>32</v>
      </c>
      <c r="E33" s="11" t="str">
        <f>VLOOKUP(labors[[#This Row],[Column1.projectId]],projects[],2,FALSE)</f>
        <v>Weather Wear Rehab</v>
      </c>
    </row>
    <row r="34" spans="1:5" x14ac:dyDescent="0.45">
      <c r="A34" t="s">
        <v>434</v>
      </c>
      <c r="B34">
        <v>2.6249999999999999E-2</v>
      </c>
      <c r="C34">
        <v>2</v>
      </c>
      <c r="D34">
        <v>33</v>
      </c>
      <c r="E34" s="11" t="str">
        <f>VLOOKUP(labors[[#This Row],[Column1.projectId]],projects[],2,FALSE)</f>
        <v>Weather Wear Rehab</v>
      </c>
    </row>
    <row r="35" spans="1:5" x14ac:dyDescent="0.45">
      <c r="A35" t="s">
        <v>435</v>
      </c>
      <c r="B35">
        <v>0.03</v>
      </c>
      <c r="C35">
        <v>2</v>
      </c>
      <c r="D35">
        <v>34</v>
      </c>
      <c r="E35" s="11" t="str">
        <f>VLOOKUP(labors[[#This Row],[Column1.projectId]],projects[],2,FALSE)</f>
        <v>Weather Wear Rehab</v>
      </c>
    </row>
    <row r="36" spans="1:5" x14ac:dyDescent="0.45">
      <c r="A36" t="s">
        <v>436</v>
      </c>
      <c r="B36">
        <v>0.05</v>
      </c>
      <c r="C36">
        <v>2</v>
      </c>
      <c r="D36">
        <v>35</v>
      </c>
      <c r="E36" s="11" t="str">
        <f>VLOOKUP(labors[[#This Row],[Column1.projectId]],projects[],2,FALSE)</f>
        <v>Weather Wear Rehab</v>
      </c>
    </row>
    <row r="37" spans="1:5" x14ac:dyDescent="0.45">
      <c r="A37" t="s">
        <v>437</v>
      </c>
      <c r="B37">
        <v>0</v>
      </c>
      <c r="C37">
        <v>2</v>
      </c>
      <c r="D37">
        <v>36</v>
      </c>
      <c r="E37" s="11" t="str">
        <f>VLOOKUP(labors[[#This Row],[Column1.projectId]],projects[],2,FALSE)</f>
        <v>Weather Wear Rehab</v>
      </c>
    </row>
    <row r="38" spans="1:5" x14ac:dyDescent="0.45">
      <c r="A38" t="s">
        <v>438</v>
      </c>
      <c r="B38">
        <v>0</v>
      </c>
      <c r="C38">
        <v>2</v>
      </c>
      <c r="D38">
        <v>37</v>
      </c>
      <c r="E38" s="11" t="str">
        <f>VLOOKUP(labors[[#This Row],[Column1.projectId]],projects[],2,FALSE)</f>
        <v>Weather Wear Rehab</v>
      </c>
    </row>
    <row r="39" spans="1:5" x14ac:dyDescent="0.45">
      <c r="A39" t="s">
        <v>439</v>
      </c>
      <c r="B39">
        <v>0</v>
      </c>
      <c r="C39">
        <v>2</v>
      </c>
      <c r="D39">
        <v>38</v>
      </c>
      <c r="E39" s="11" t="str">
        <f>VLOOKUP(labors[[#This Row],[Column1.projectId]],projects[],2,FALSE)</f>
        <v>Weather Wear Rehab</v>
      </c>
    </row>
    <row r="40" spans="1:5" x14ac:dyDescent="0.45">
      <c r="A40" t="s">
        <v>440</v>
      </c>
      <c r="B40">
        <v>0.35</v>
      </c>
      <c r="C40">
        <v>2</v>
      </c>
      <c r="D40">
        <v>39</v>
      </c>
      <c r="E40" s="11" t="str">
        <f>VLOOKUP(labors[[#This Row],[Column1.projectId]],projects[],2,FALSE)</f>
        <v>Weather Wear Rehab</v>
      </c>
    </row>
    <row r="41" spans="1:5" x14ac:dyDescent="0.45">
      <c r="A41" t="s">
        <v>441</v>
      </c>
      <c r="B41">
        <v>0.41</v>
      </c>
      <c r="C41">
        <v>2</v>
      </c>
      <c r="D41">
        <v>40</v>
      </c>
      <c r="E41" s="11" t="str">
        <f>VLOOKUP(labors[[#This Row],[Column1.projectId]],projects[],2,FALSE)</f>
        <v>Weather Wear Rehab</v>
      </c>
    </row>
    <row r="42" spans="1:5" x14ac:dyDescent="0.45">
      <c r="A42" t="s">
        <v>442</v>
      </c>
      <c r="B42">
        <v>0.35</v>
      </c>
      <c r="C42">
        <v>2</v>
      </c>
      <c r="D42">
        <v>41</v>
      </c>
      <c r="E42" s="11" t="str">
        <f>VLOOKUP(labors[[#This Row],[Column1.projectId]],projects[],2,FALSE)</f>
        <v>Weather Wear Rehab</v>
      </c>
    </row>
    <row r="43" spans="1:5" x14ac:dyDescent="0.45">
      <c r="A43" t="s">
        <v>443</v>
      </c>
      <c r="B43">
        <v>0.85</v>
      </c>
      <c r="C43">
        <v>2</v>
      </c>
      <c r="D43">
        <v>42</v>
      </c>
      <c r="E43" s="11" t="str">
        <f>VLOOKUP(labors[[#This Row],[Column1.projectId]],projects[],2,FALSE)</f>
        <v>Weather Wear Rehab</v>
      </c>
    </row>
    <row r="44" spans="1:5" x14ac:dyDescent="0.45">
      <c r="A44" t="s">
        <v>423</v>
      </c>
      <c r="B44">
        <v>1.0015000000000001</v>
      </c>
      <c r="C44">
        <v>3</v>
      </c>
      <c r="D44">
        <v>43</v>
      </c>
      <c r="E44" s="11" t="str">
        <f>VLOOKUP(labors[[#This Row],[Column1.projectId]],projects[],2,FALSE)</f>
        <v>Barrier Guard</v>
      </c>
    </row>
    <row r="45" spans="1:5" x14ac:dyDescent="0.45">
      <c r="A45" t="s">
        <v>424</v>
      </c>
      <c r="B45">
        <v>-0.125</v>
      </c>
      <c r="C45">
        <v>3</v>
      </c>
      <c r="D45">
        <v>44</v>
      </c>
      <c r="E45" s="11" t="str">
        <f>VLOOKUP(labors[[#This Row],[Column1.projectId]],projects[],2,FALSE)</f>
        <v>Barrier Guard</v>
      </c>
    </row>
    <row r="46" spans="1:5" x14ac:dyDescent="0.45">
      <c r="A46" t="s">
        <v>425</v>
      </c>
      <c r="B46">
        <v>0.06</v>
      </c>
      <c r="C46">
        <v>3</v>
      </c>
      <c r="D46">
        <v>45</v>
      </c>
      <c r="E46" s="11" t="str">
        <f>VLOOKUP(labors[[#This Row],[Column1.projectId]],projects[],2,FALSE)</f>
        <v>Barrier Guard</v>
      </c>
    </row>
    <row r="47" spans="1:5" x14ac:dyDescent="0.45">
      <c r="A47" t="s">
        <v>426</v>
      </c>
      <c r="B47">
        <v>0.13</v>
      </c>
      <c r="C47">
        <v>3</v>
      </c>
      <c r="D47">
        <v>46</v>
      </c>
      <c r="E47" s="11" t="str">
        <f>VLOOKUP(labors[[#This Row],[Column1.projectId]],projects[],2,FALSE)</f>
        <v>Barrier Guard</v>
      </c>
    </row>
    <row r="48" spans="1:5" x14ac:dyDescent="0.45">
      <c r="A48" t="s">
        <v>427</v>
      </c>
      <c r="B48">
        <v>0.1</v>
      </c>
      <c r="C48">
        <v>3</v>
      </c>
      <c r="D48">
        <v>47</v>
      </c>
      <c r="E48" s="11" t="str">
        <f>VLOOKUP(labors[[#This Row],[Column1.projectId]],projects[],2,FALSE)</f>
        <v>Barrier Guard</v>
      </c>
    </row>
    <row r="49" spans="1:5" x14ac:dyDescent="0.45">
      <c r="A49" t="s">
        <v>428</v>
      </c>
      <c r="B49">
        <v>0.1515</v>
      </c>
      <c r="C49">
        <v>3</v>
      </c>
      <c r="D49">
        <v>48</v>
      </c>
      <c r="E49" s="11" t="str">
        <f>VLOOKUP(labors[[#This Row],[Column1.projectId]],projects[],2,FALSE)</f>
        <v>Barrier Guard</v>
      </c>
    </row>
    <row r="50" spans="1:5" x14ac:dyDescent="0.45">
      <c r="A50" t="s">
        <v>429</v>
      </c>
      <c r="B50">
        <v>0.08</v>
      </c>
      <c r="C50">
        <v>3</v>
      </c>
      <c r="D50">
        <v>49</v>
      </c>
      <c r="E50" s="11" t="str">
        <f>VLOOKUP(labors[[#This Row],[Column1.projectId]],projects[],2,FALSE)</f>
        <v>Barrier Guard</v>
      </c>
    </row>
    <row r="51" spans="1:5" x14ac:dyDescent="0.45">
      <c r="A51" t="s">
        <v>430</v>
      </c>
      <c r="B51">
        <v>0.35</v>
      </c>
      <c r="C51">
        <v>3</v>
      </c>
      <c r="D51">
        <v>50</v>
      </c>
      <c r="E51" s="11" t="str">
        <f>VLOOKUP(labors[[#This Row],[Column1.projectId]],projects[],2,FALSE)</f>
        <v>Barrier Guard</v>
      </c>
    </row>
    <row r="52" spans="1:5" x14ac:dyDescent="0.45">
      <c r="A52" t="s">
        <v>431</v>
      </c>
      <c r="B52">
        <v>0</v>
      </c>
      <c r="C52">
        <v>3</v>
      </c>
      <c r="D52">
        <v>51</v>
      </c>
      <c r="E52" s="11" t="str">
        <f>VLOOKUP(labors[[#This Row],[Column1.projectId]],projects[],2,FALSE)</f>
        <v>Barrier Guard</v>
      </c>
    </row>
    <row r="53" spans="1:5" x14ac:dyDescent="0.45">
      <c r="A53" t="s">
        <v>432</v>
      </c>
      <c r="B53">
        <v>-0.6</v>
      </c>
      <c r="C53">
        <v>3</v>
      </c>
      <c r="D53">
        <v>52</v>
      </c>
      <c r="E53" s="11" t="str">
        <f>VLOOKUP(labors[[#This Row],[Column1.projectId]],projects[],2,FALSE)</f>
        <v>Barrier Guard</v>
      </c>
    </row>
    <row r="54" spans="1:5" x14ac:dyDescent="0.45">
      <c r="A54" t="s">
        <v>433</v>
      </c>
      <c r="B54">
        <v>0.65</v>
      </c>
      <c r="C54">
        <v>3</v>
      </c>
      <c r="D54">
        <v>53</v>
      </c>
      <c r="E54" s="11" t="str">
        <f>VLOOKUP(labors[[#This Row],[Column1.projectId]],projects[],2,FALSE)</f>
        <v>Barrier Guard</v>
      </c>
    </row>
    <row r="55" spans="1:5" x14ac:dyDescent="0.45">
      <c r="A55" t="s">
        <v>434</v>
      </c>
      <c r="B55">
        <v>2.6249999999999999E-2</v>
      </c>
      <c r="C55">
        <v>3</v>
      </c>
      <c r="D55">
        <v>54</v>
      </c>
      <c r="E55" s="11" t="str">
        <f>VLOOKUP(labors[[#This Row],[Column1.projectId]],projects[],2,FALSE)</f>
        <v>Barrier Guard</v>
      </c>
    </row>
    <row r="56" spans="1:5" x14ac:dyDescent="0.45">
      <c r="A56" t="s">
        <v>435</v>
      </c>
      <c r="B56">
        <v>0.03</v>
      </c>
      <c r="C56">
        <v>3</v>
      </c>
      <c r="D56">
        <v>55</v>
      </c>
      <c r="E56" s="11" t="str">
        <f>VLOOKUP(labors[[#This Row],[Column1.projectId]],projects[],2,FALSE)</f>
        <v>Barrier Guard</v>
      </c>
    </row>
    <row r="57" spans="1:5" x14ac:dyDescent="0.45">
      <c r="A57" t="s">
        <v>436</v>
      </c>
      <c r="B57">
        <v>0.05</v>
      </c>
      <c r="C57">
        <v>3</v>
      </c>
      <c r="D57">
        <v>56</v>
      </c>
      <c r="E57" s="11" t="str">
        <f>VLOOKUP(labors[[#This Row],[Column1.projectId]],projects[],2,FALSE)</f>
        <v>Barrier Guard</v>
      </c>
    </row>
    <row r="58" spans="1:5" x14ac:dyDescent="0.45">
      <c r="A58" t="s">
        <v>437</v>
      </c>
      <c r="B58">
        <v>0</v>
      </c>
      <c r="C58">
        <v>3</v>
      </c>
      <c r="D58">
        <v>57</v>
      </c>
      <c r="E58" s="11" t="str">
        <f>VLOOKUP(labors[[#This Row],[Column1.projectId]],projects[],2,FALSE)</f>
        <v>Barrier Guard</v>
      </c>
    </row>
    <row r="59" spans="1:5" x14ac:dyDescent="0.45">
      <c r="A59" t="s">
        <v>438</v>
      </c>
      <c r="B59">
        <v>0</v>
      </c>
      <c r="C59">
        <v>3</v>
      </c>
      <c r="D59">
        <v>58</v>
      </c>
      <c r="E59" s="11" t="str">
        <f>VLOOKUP(labors[[#This Row],[Column1.projectId]],projects[],2,FALSE)</f>
        <v>Barrier Guard</v>
      </c>
    </row>
    <row r="60" spans="1:5" x14ac:dyDescent="0.45">
      <c r="A60" t="s">
        <v>439</v>
      </c>
      <c r="B60">
        <v>0</v>
      </c>
      <c r="C60">
        <v>3</v>
      </c>
      <c r="D60">
        <v>59</v>
      </c>
      <c r="E60" s="11" t="str">
        <f>VLOOKUP(labors[[#This Row],[Column1.projectId]],projects[],2,FALSE)</f>
        <v>Barrier Guard</v>
      </c>
    </row>
    <row r="61" spans="1:5" x14ac:dyDescent="0.45">
      <c r="A61" t="s">
        <v>440</v>
      </c>
      <c r="B61">
        <v>0.35</v>
      </c>
      <c r="C61">
        <v>3</v>
      </c>
      <c r="D61">
        <v>60</v>
      </c>
      <c r="E61" s="11" t="str">
        <f>VLOOKUP(labors[[#This Row],[Column1.projectId]],projects[],2,FALSE)</f>
        <v>Barrier Guard</v>
      </c>
    </row>
    <row r="62" spans="1:5" x14ac:dyDescent="0.45">
      <c r="A62" t="s">
        <v>441</v>
      </c>
      <c r="B62">
        <v>0.38</v>
      </c>
      <c r="C62">
        <v>3</v>
      </c>
      <c r="D62">
        <v>61</v>
      </c>
      <c r="E62" s="11" t="str">
        <f>VLOOKUP(labors[[#This Row],[Column1.projectId]],projects[],2,FALSE)</f>
        <v>Barrier Guard</v>
      </c>
    </row>
    <row r="63" spans="1:5" x14ac:dyDescent="0.45">
      <c r="A63" t="s">
        <v>442</v>
      </c>
      <c r="B63">
        <v>0.35</v>
      </c>
      <c r="C63">
        <v>3</v>
      </c>
      <c r="D63">
        <v>62</v>
      </c>
      <c r="E63" s="11" t="str">
        <f>VLOOKUP(labors[[#This Row],[Column1.projectId]],projects[],2,FALSE)</f>
        <v>Barrier Guard</v>
      </c>
    </row>
    <row r="64" spans="1:5" x14ac:dyDescent="0.45">
      <c r="A64" t="s">
        <v>443</v>
      </c>
      <c r="B64">
        <v>0.85</v>
      </c>
      <c r="C64">
        <v>3</v>
      </c>
      <c r="D64">
        <v>63</v>
      </c>
      <c r="E64" s="11" t="str">
        <f>VLOOKUP(labors[[#This Row],[Column1.projectId]],projects[],2,FALSE)</f>
        <v>Barrier Guard</v>
      </c>
    </row>
    <row r="65" spans="1:5" x14ac:dyDescent="0.45">
      <c r="A65" t="s">
        <v>423</v>
      </c>
      <c r="B65">
        <v>1.0015000000000001</v>
      </c>
      <c r="C65">
        <v>4</v>
      </c>
      <c r="D65">
        <v>64</v>
      </c>
      <c r="E65" s="11" t="str">
        <f>VLOOKUP(labors[[#This Row],[Column1.projectId]],projects[],2,FALSE)</f>
        <v>Endurokote</v>
      </c>
    </row>
    <row r="66" spans="1:5" x14ac:dyDescent="0.45">
      <c r="A66" t="s">
        <v>424</v>
      </c>
      <c r="B66">
        <v>-0.125</v>
      </c>
      <c r="C66">
        <v>4</v>
      </c>
      <c r="D66">
        <v>65</v>
      </c>
      <c r="E66" s="11" t="str">
        <f>VLOOKUP(labors[[#This Row],[Column1.projectId]],projects[],2,FALSE)</f>
        <v>Endurokote</v>
      </c>
    </row>
    <row r="67" spans="1:5" x14ac:dyDescent="0.45">
      <c r="A67" t="s">
        <v>425</v>
      </c>
      <c r="B67">
        <v>0.06</v>
      </c>
      <c r="C67">
        <v>4</v>
      </c>
      <c r="D67">
        <v>66</v>
      </c>
      <c r="E67" s="11" t="str">
        <f>VLOOKUP(labors[[#This Row],[Column1.projectId]],projects[],2,FALSE)</f>
        <v>Endurokote</v>
      </c>
    </row>
    <row r="68" spans="1:5" x14ac:dyDescent="0.45">
      <c r="A68" t="s">
        <v>426</v>
      </c>
      <c r="B68">
        <v>0.13</v>
      </c>
      <c r="C68">
        <v>4</v>
      </c>
      <c r="D68">
        <v>67</v>
      </c>
      <c r="E68" s="11" t="str">
        <f>VLOOKUP(labors[[#This Row],[Column1.projectId]],projects[],2,FALSE)</f>
        <v>Endurokote</v>
      </c>
    </row>
    <row r="69" spans="1:5" x14ac:dyDescent="0.45">
      <c r="A69" t="s">
        <v>427</v>
      </c>
      <c r="B69">
        <v>0.1</v>
      </c>
      <c r="C69">
        <v>4</v>
      </c>
      <c r="D69">
        <v>68</v>
      </c>
      <c r="E69" s="11" t="str">
        <f>VLOOKUP(labors[[#This Row],[Column1.projectId]],projects[],2,FALSE)</f>
        <v>Endurokote</v>
      </c>
    </row>
    <row r="70" spans="1:5" x14ac:dyDescent="0.45">
      <c r="A70" t="s">
        <v>428</v>
      </c>
      <c r="B70">
        <v>0.1515</v>
      </c>
      <c r="C70">
        <v>4</v>
      </c>
      <c r="D70">
        <v>69</v>
      </c>
      <c r="E70" s="11" t="str">
        <f>VLOOKUP(labors[[#This Row],[Column1.projectId]],projects[],2,FALSE)</f>
        <v>Endurokote</v>
      </c>
    </row>
    <row r="71" spans="1:5" x14ac:dyDescent="0.45">
      <c r="A71" t="s">
        <v>429</v>
      </c>
      <c r="B71">
        <v>0.08</v>
      </c>
      <c r="C71">
        <v>4</v>
      </c>
      <c r="D71">
        <v>70</v>
      </c>
      <c r="E71" s="11" t="str">
        <f>VLOOKUP(labors[[#This Row],[Column1.projectId]],projects[],2,FALSE)</f>
        <v>Endurokote</v>
      </c>
    </row>
    <row r="72" spans="1:5" x14ac:dyDescent="0.45">
      <c r="A72" t="s">
        <v>430</v>
      </c>
      <c r="B72">
        <v>0.35</v>
      </c>
      <c r="C72">
        <v>4</v>
      </c>
      <c r="D72">
        <v>71</v>
      </c>
      <c r="E72" s="11" t="str">
        <f>VLOOKUP(labors[[#This Row],[Column1.projectId]],projects[],2,FALSE)</f>
        <v>Endurokote</v>
      </c>
    </row>
    <row r="73" spans="1:5" x14ac:dyDescent="0.45">
      <c r="A73" t="s">
        <v>431</v>
      </c>
      <c r="B73">
        <v>0</v>
      </c>
      <c r="C73">
        <v>4</v>
      </c>
      <c r="D73">
        <v>72</v>
      </c>
      <c r="E73" s="11" t="str">
        <f>VLOOKUP(labors[[#This Row],[Column1.projectId]],projects[],2,FALSE)</f>
        <v>Endurokote</v>
      </c>
    </row>
    <row r="74" spans="1:5" x14ac:dyDescent="0.45">
      <c r="A74" t="s">
        <v>432</v>
      </c>
      <c r="B74">
        <v>-0.6</v>
      </c>
      <c r="C74">
        <v>4</v>
      </c>
      <c r="D74">
        <v>73</v>
      </c>
      <c r="E74" s="11" t="str">
        <f>VLOOKUP(labors[[#This Row],[Column1.projectId]],projects[],2,FALSE)</f>
        <v>Endurokote</v>
      </c>
    </row>
    <row r="75" spans="1:5" x14ac:dyDescent="0.45">
      <c r="A75" t="s">
        <v>433</v>
      </c>
      <c r="B75">
        <v>0.65</v>
      </c>
      <c r="C75">
        <v>4</v>
      </c>
      <c r="D75">
        <v>74</v>
      </c>
      <c r="E75" s="11" t="str">
        <f>VLOOKUP(labors[[#This Row],[Column1.projectId]],projects[],2,FALSE)</f>
        <v>Endurokote</v>
      </c>
    </row>
    <row r="76" spans="1:5" x14ac:dyDescent="0.45">
      <c r="A76" t="s">
        <v>434</v>
      </c>
      <c r="B76">
        <v>2.63E-2</v>
      </c>
      <c r="C76">
        <v>4</v>
      </c>
      <c r="D76">
        <v>75</v>
      </c>
      <c r="E76" s="11" t="str">
        <f>VLOOKUP(labors[[#This Row],[Column1.projectId]],projects[],2,FALSE)</f>
        <v>Endurokote</v>
      </c>
    </row>
    <row r="77" spans="1:5" x14ac:dyDescent="0.45">
      <c r="A77" t="s">
        <v>435</v>
      </c>
      <c r="B77">
        <v>0.03</v>
      </c>
      <c r="C77">
        <v>4</v>
      </c>
      <c r="D77">
        <v>76</v>
      </c>
      <c r="E77" s="11" t="str">
        <f>VLOOKUP(labors[[#This Row],[Column1.projectId]],projects[],2,FALSE)</f>
        <v>Endurokote</v>
      </c>
    </row>
    <row r="78" spans="1:5" x14ac:dyDescent="0.45">
      <c r="A78" t="s">
        <v>436</v>
      </c>
      <c r="B78">
        <v>0.05</v>
      </c>
      <c r="C78">
        <v>4</v>
      </c>
      <c r="D78">
        <v>77</v>
      </c>
      <c r="E78" s="11" t="str">
        <f>VLOOKUP(labors[[#This Row],[Column1.projectId]],projects[],2,FALSE)</f>
        <v>Endurokote</v>
      </c>
    </row>
    <row r="79" spans="1:5" x14ac:dyDescent="0.45">
      <c r="A79" t="s">
        <v>437</v>
      </c>
      <c r="B79">
        <v>0</v>
      </c>
      <c r="C79">
        <v>4</v>
      </c>
      <c r="D79">
        <v>78</v>
      </c>
      <c r="E79" s="11" t="str">
        <f>VLOOKUP(labors[[#This Row],[Column1.projectId]],projects[],2,FALSE)</f>
        <v>Endurokote</v>
      </c>
    </row>
    <row r="80" spans="1:5" x14ac:dyDescent="0.45">
      <c r="A80" t="s">
        <v>438</v>
      </c>
      <c r="B80">
        <v>0</v>
      </c>
      <c r="C80">
        <v>4</v>
      </c>
      <c r="D80">
        <v>79</v>
      </c>
      <c r="E80" s="11" t="str">
        <f>VLOOKUP(labors[[#This Row],[Column1.projectId]],projects[],2,FALSE)</f>
        <v>Endurokote</v>
      </c>
    </row>
    <row r="81" spans="1:5" x14ac:dyDescent="0.45">
      <c r="A81" t="s">
        <v>439</v>
      </c>
      <c r="B81">
        <v>0</v>
      </c>
      <c r="C81">
        <v>4</v>
      </c>
      <c r="D81">
        <v>80</v>
      </c>
      <c r="E81" s="11" t="str">
        <f>VLOOKUP(labors[[#This Row],[Column1.projectId]],projects[],2,FALSE)</f>
        <v>Endurokote</v>
      </c>
    </row>
    <row r="82" spans="1:5" x14ac:dyDescent="0.45">
      <c r="A82" t="s">
        <v>440</v>
      </c>
      <c r="B82">
        <v>0.35</v>
      </c>
      <c r="C82">
        <v>4</v>
      </c>
      <c r="D82">
        <v>81</v>
      </c>
      <c r="E82" s="11" t="str">
        <f>VLOOKUP(labors[[#This Row],[Column1.projectId]],projects[],2,FALSE)</f>
        <v>Endurokote</v>
      </c>
    </row>
    <row r="83" spans="1:5" x14ac:dyDescent="0.45">
      <c r="A83" t="s">
        <v>441</v>
      </c>
      <c r="B83">
        <v>0.38</v>
      </c>
      <c r="C83">
        <v>4</v>
      </c>
      <c r="D83">
        <v>82</v>
      </c>
      <c r="E83" s="11" t="str">
        <f>VLOOKUP(labors[[#This Row],[Column1.projectId]],projects[],2,FALSE)</f>
        <v>Endurokote</v>
      </c>
    </row>
    <row r="84" spans="1:5" x14ac:dyDescent="0.45">
      <c r="A84" t="s">
        <v>442</v>
      </c>
      <c r="B84">
        <v>0.35</v>
      </c>
      <c r="C84">
        <v>4</v>
      </c>
      <c r="D84">
        <v>83</v>
      </c>
      <c r="E84" s="11" t="str">
        <f>VLOOKUP(labors[[#This Row],[Column1.projectId]],projects[],2,FALSE)</f>
        <v>Endurokote</v>
      </c>
    </row>
    <row r="85" spans="1:5" x14ac:dyDescent="0.45">
      <c r="A85" t="s">
        <v>443</v>
      </c>
      <c r="B85">
        <v>0.35</v>
      </c>
      <c r="C85">
        <v>4</v>
      </c>
      <c r="D85">
        <v>84</v>
      </c>
      <c r="E85" s="11" t="str">
        <f>VLOOKUP(labors[[#This Row],[Column1.projectId]],projects[],2,FALSE)</f>
        <v>Endurokote</v>
      </c>
    </row>
    <row r="86" spans="1:5" x14ac:dyDescent="0.45">
      <c r="A86" t="s">
        <v>423</v>
      </c>
      <c r="B86">
        <v>1.0015000000000001</v>
      </c>
      <c r="C86">
        <v>5</v>
      </c>
      <c r="D86">
        <v>85</v>
      </c>
      <c r="E86" s="11" t="str">
        <f>VLOOKUP(labors[[#This Row],[Column1.projectId]],projects[],2,FALSE)</f>
        <v>Desert Crete</v>
      </c>
    </row>
    <row r="87" spans="1:5" x14ac:dyDescent="0.45">
      <c r="A87" t="s">
        <v>424</v>
      </c>
      <c r="B87">
        <v>-0.125</v>
      </c>
      <c r="C87">
        <v>5</v>
      </c>
      <c r="D87">
        <v>86</v>
      </c>
      <c r="E87" s="11" t="str">
        <f>VLOOKUP(labors[[#This Row],[Column1.projectId]],projects[],2,FALSE)</f>
        <v>Desert Crete</v>
      </c>
    </row>
    <row r="88" spans="1:5" x14ac:dyDescent="0.45">
      <c r="A88" t="s">
        <v>425</v>
      </c>
      <c r="B88">
        <v>0.06</v>
      </c>
      <c r="C88">
        <v>5</v>
      </c>
      <c r="D88">
        <v>87</v>
      </c>
      <c r="E88" s="11" t="str">
        <f>VLOOKUP(labors[[#This Row],[Column1.projectId]],projects[],2,FALSE)</f>
        <v>Desert Crete</v>
      </c>
    </row>
    <row r="89" spans="1:5" x14ac:dyDescent="0.45">
      <c r="A89" t="s">
        <v>426</v>
      </c>
      <c r="B89">
        <v>0.13</v>
      </c>
      <c r="C89">
        <v>5</v>
      </c>
      <c r="D89">
        <v>88</v>
      </c>
      <c r="E89" s="11" t="str">
        <f>VLOOKUP(labors[[#This Row],[Column1.projectId]],projects[],2,FALSE)</f>
        <v>Desert Crete</v>
      </c>
    </row>
    <row r="90" spans="1:5" x14ac:dyDescent="0.45">
      <c r="A90" t="s">
        <v>427</v>
      </c>
      <c r="B90">
        <v>0.1</v>
      </c>
      <c r="C90">
        <v>5</v>
      </c>
      <c r="D90">
        <v>89</v>
      </c>
      <c r="E90" s="11" t="str">
        <f>VLOOKUP(labors[[#This Row],[Column1.projectId]],projects[],2,FALSE)</f>
        <v>Desert Crete</v>
      </c>
    </row>
    <row r="91" spans="1:5" x14ac:dyDescent="0.45">
      <c r="A91" t="s">
        <v>428</v>
      </c>
      <c r="B91">
        <v>0.1515</v>
      </c>
      <c r="C91">
        <v>5</v>
      </c>
      <c r="D91">
        <v>90</v>
      </c>
      <c r="E91" s="11" t="str">
        <f>VLOOKUP(labors[[#This Row],[Column1.projectId]],projects[],2,FALSE)</f>
        <v>Desert Crete</v>
      </c>
    </row>
    <row r="92" spans="1:5" x14ac:dyDescent="0.45">
      <c r="A92" t="s">
        <v>429</v>
      </c>
      <c r="B92">
        <v>0.08</v>
      </c>
      <c r="C92">
        <v>5</v>
      </c>
      <c r="D92">
        <v>91</v>
      </c>
      <c r="E92" s="11" t="str">
        <f>VLOOKUP(labors[[#This Row],[Column1.projectId]],projects[],2,FALSE)</f>
        <v>Desert Crete</v>
      </c>
    </row>
    <row r="93" spans="1:5" x14ac:dyDescent="0.45">
      <c r="A93" t="s">
        <v>430</v>
      </c>
      <c r="B93">
        <v>0.35</v>
      </c>
      <c r="C93">
        <v>5</v>
      </c>
      <c r="D93">
        <v>92</v>
      </c>
      <c r="E93" s="11" t="str">
        <f>VLOOKUP(labors[[#This Row],[Column1.projectId]],projects[],2,FALSE)</f>
        <v>Desert Crete</v>
      </c>
    </row>
    <row r="94" spans="1:5" x14ac:dyDescent="0.45">
      <c r="A94" t="s">
        <v>431</v>
      </c>
      <c r="B94">
        <v>0</v>
      </c>
      <c r="C94">
        <v>5</v>
      </c>
      <c r="D94">
        <v>93</v>
      </c>
      <c r="E94" s="11" t="str">
        <f>VLOOKUP(labors[[#This Row],[Column1.projectId]],projects[],2,FALSE)</f>
        <v>Desert Crete</v>
      </c>
    </row>
    <row r="95" spans="1:5" x14ac:dyDescent="0.45">
      <c r="A95" t="s">
        <v>432</v>
      </c>
      <c r="B95">
        <v>-0.6</v>
      </c>
      <c r="C95">
        <v>5</v>
      </c>
      <c r="D95">
        <v>94</v>
      </c>
      <c r="E95" s="11" t="str">
        <f>VLOOKUP(labors[[#This Row],[Column1.projectId]],projects[],2,FALSE)</f>
        <v>Desert Crete</v>
      </c>
    </row>
    <row r="96" spans="1:5" x14ac:dyDescent="0.45">
      <c r="A96" t="s">
        <v>433</v>
      </c>
      <c r="B96">
        <v>0.65</v>
      </c>
      <c r="C96">
        <v>5</v>
      </c>
      <c r="D96">
        <v>95</v>
      </c>
      <c r="E96" s="11" t="str">
        <f>VLOOKUP(labors[[#This Row],[Column1.projectId]],projects[],2,FALSE)</f>
        <v>Desert Crete</v>
      </c>
    </row>
    <row r="97" spans="1:5" x14ac:dyDescent="0.45">
      <c r="A97" t="s">
        <v>434</v>
      </c>
      <c r="B97">
        <v>2.6249999999999999E-2</v>
      </c>
      <c r="C97">
        <v>5</v>
      </c>
      <c r="D97">
        <v>96</v>
      </c>
      <c r="E97" s="11" t="str">
        <f>VLOOKUP(labors[[#This Row],[Column1.projectId]],projects[],2,FALSE)</f>
        <v>Desert Crete</v>
      </c>
    </row>
    <row r="98" spans="1:5" x14ac:dyDescent="0.45">
      <c r="A98" t="s">
        <v>435</v>
      </c>
      <c r="B98">
        <v>0.03</v>
      </c>
      <c r="C98">
        <v>5</v>
      </c>
      <c r="D98">
        <v>97</v>
      </c>
      <c r="E98" s="11" t="str">
        <f>VLOOKUP(labors[[#This Row],[Column1.projectId]],projects[],2,FALSE)</f>
        <v>Desert Crete</v>
      </c>
    </row>
    <row r="99" spans="1:5" x14ac:dyDescent="0.45">
      <c r="A99" t="s">
        <v>436</v>
      </c>
      <c r="B99">
        <v>0.05</v>
      </c>
      <c r="C99">
        <v>5</v>
      </c>
      <c r="D99">
        <v>98</v>
      </c>
      <c r="E99" s="11" t="str">
        <f>VLOOKUP(labors[[#This Row],[Column1.projectId]],projects[],2,FALSE)</f>
        <v>Desert Crete</v>
      </c>
    </row>
    <row r="100" spans="1:5" x14ac:dyDescent="0.45">
      <c r="A100" t="s">
        <v>437</v>
      </c>
      <c r="B100">
        <v>0</v>
      </c>
      <c r="C100">
        <v>5</v>
      </c>
      <c r="D100">
        <v>99</v>
      </c>
      <c r="E100" s="11" t="str">
        <f>VLOOKUP(labors[[#This Row],[Column1.projectId]],projects[],2,FALSE)</f>
        <v>Desert Crete</v>
      </c>
    </row>
    <row r="101" spans="1:5" x14ac:dyDescent="0.45">
      <c r="A101" t="s">
        <v>438</v>
      </c>
      <c r="B101">
        <v>0</v>
      </c>
      <c r="C101">
        <v>5</v>
      </c>
      <c r="D101">
        <v>100</v>
      </c>
      <c r="E101" s="11" t="str">
        <f>VLOOKUP(labors[[#This Row],[Column1.projectId]],projects[],2,FALSE)</f>
        <v>Desert Crete</v>
      </c>
    </row>
    <row r="102" spans="1:5" x14ac:dyDescent="0.45">
      <c r="A102" t="s">
        <v>439</v>
      </c>
      <c r="B102">
        <v>0</v>
      </c>
      <c r="C102">
        <v>5</v>
      </c>
      <c r="D102">
        <v>101</v>
      </c>
      <c r="E102" s="11" t="str">
        <f>VLOOKUP(labors[[#This Row],[Column1.projectId]],projects[],2,FALSE)</f>
        <v>Desert Crete</v>
      </c>
    </row>
    <row r="103" spans="1:5" x14ac:dyDescent="0.45">
      <c r="A103" t="s">
        <v>440</v>
      </c>
      <c r="B103">
        <v>0.35</v>
      </c>
      <c r="C103">
        <v>5</v>
      </c>
      <c r="D103">
        <v>102</v>
      </c>
      <c r="E103" s="11" t="str">
        <f>VLOOKUP(labors[[#This Row],[Column1.projectId]],projects[],2,FALSE)</f>
        <v>Desert Crete</v>
      </c>
    </row>
    <row r="104" spans="1:5" x14ac:dyDescent="0.45">
      <c r="A104" t="s">
        <v>441</v>
      </c>
      <c r="B104">
        <v>0.38</v>
      </c>
      <c r="C104">
        <v>5</v>
      </c>
      <c r="D104">
        <v>103</v>
      </c>
      <c r="E104" s="11" t="str">
        <f>VLOOKUP(labors[[#This Row],[Column1.projectId]],projects[],2,FALSE)</f>
        <v>Desert Crete</v>
      </c>
    </row>
    <row r="105" spans="1:5" x14ac:dyDescent="0.45">
      <c r="A105" t="s">
        <v>442</v>
      </c>
      <c r="B105">
        <v>0.35</v>
      </c>
      <c r="C105">
        <v>5</v>
      </c>
      <c r="D105">
        <v>104</v>
      </c>
      <c r="E105" s="11" t="str">
        <f>VLOOKUP(labors[[#This Row],[Column1.projectId]],projects[],2,FALSE)</f>
        <v>Desert Crete</v>
      </c>
    </row>
    <row r="106" spans="1:5" x14ac:dyDescent="0.45">
      <c r="A106" t="s">
        <v>443</v>
      </c>
      <c r="B106">
        <v>0.85</v>
      </c>
      <c r="C106">
        <v>5</v>
      </c>
      <c r="D106">
        <v>105</v>
      </c>
      <c r="E106" s="11" t="str">
        <f>VLOOKUP(labors[[#This Row],[Column1.projectId]],projects[],2,FALSE)</f>
        <v>Desert Crete</v>
      </c>
    </row>
    <row r="107" spans="1:5" x14ac:dyDescent="0.45">
      <c r="A107" t="s">
        <v>423</v>
      </c>
      <c r="B107">
        <v>1.0015000000000001</v>
      </c>
      <c r="C107">
        <v>6</v>
      </c>
      <c r="D107">
        <v>106</v>
      </c>
      <c r="E107" s="11" t="str">
        <f>VLOOKUP(labors[[#This Row],[Column1.projectId]],projects[],2,FALSE)</f>
        <v>Paraseal</v>
      </c>
    </row>
    <row r="108" spans="1:5" x14ac:dyDescent="0.45">
      <c r="A108" t="s">
        <v>424</v>
      </c>
      <c r="B108">
        <v>-0.125</v>
      </c>
      <c r="C108">
        <v>6</v>
      </c>
      <c r="D108">
        <v>107</v>
      </c>
      <c r="E108" s="11" t="str">
        <f>VLOOKUP(labors[[#This Row],[Column1.projectId]],projects[],2,FALSE)</f>
        <v>Paraseal</v>
      </c>
    </row>
    <row r="109" spans="1:5" x14ac:dyDescent="0.45">
      <c r="A109" t="s">
        <v>425</v>
      </c>
      <c r="B109">
        <v>0.06</v>
      </c>
      <c r="C109">
        <v>6</v>
      </c>
      <c r="D109">
        <v>108</v>
      </c>
      <c r="E109" s="11" t="str">
        <f>VLOOKUP(labors[[#This Row],[Column1.projectId]],projects[],2,FALSE)</f>
        <v>Paraseal</v>
      </c>
    </row>
    <row r="110" spans="1:5" x14ac:dyDescent="0.45">
      <c r="A110" t="s">
        <v>426</v>
      </c>
      <c r="B110">
        <v>0.13</v>
      </c>
      <c r="C110">
        <v>6</v>
      </c>
      <c r="D110">
        <v>109</v>
      </c>
      <c r="E110" s="11" t="str">
        <f>VLOOKUP(labors[[#This Row],[Column1.projectId]],projects[],2,FALSE)</f>
        <v>Paraseal</v>
      </c>
    </row>
    <row r="111" spans="1:5" x14ac:dyDescent="0.45">
      <c r="A111" t="s">
        <v>427</v>
      </c>
      <c r="B111">
        <v>0.1</v>
      </c>
      <c r="C111">
        <v>6</v>
      </c>
      <c r="D111">
        <v>110</v>
      </c>
      <c r="E111" s="11" t="str">
        <f>VLOOKUP(labors[[#This Row],[Column1.projectId]],projects[],2,FALSE)</f>
        <v>Paraseal</v>
      </c>
    </row>
    <row r="112" spans="1:5" x14ac:dyDescent="0.45">
      <c r="A112" t="s">
        <v>428</v>
      </c>
      <c r="B112">
        <v>0.1515</v>
      </c>
      <c r="C112">
        <v>6</v>
      </c>
      <c r="D112">
        <v>111</v>
      </c>
      <c r="E112" s="11" t="str">
        <f>VLOOKUP(labors[[#This Row],[Column1.projectId]],projects[],2,FALSE)</f>
        <v>Paraseal</v>
      </c>
    </row>
    <row r="113" spans="1:5" x14ac:dyDescent="0.45">
      <c r="A113" t="s">
        <v>429</v>
      </c>
      <c r="B113">
        <v>0.08</v>
      </c>
      <c r="C113">
        <v>6</v>
      </c>
      <c r="D113">
        <v>112</v>
      </c>
      <c r="E113" s="11" t="str">
        <f>VLOOKUP(labors[[#This Row],[Column1.projectId]],projects[],2,FALSE)</f>
        <v>Paraseal</v>
      </c>
    </row>
    <row r="114" spans="1:5" x14ac:dyDescent="0.45">
      <c r="A114" t="s">
        <v>430</v>
      </c>
      <c r="B114">
        <v>0.35</v>
      </c>
      <c r="C114">
        <v>6</v>
      </c>
      <c r="D114">
        <v>113</v>
      </c>
      <c r="E114" s="11" t="str">
        <f>VLOOKUP(labors[[#This Row],[Column1.projectId]],projects[],2,FALSE)</f>
        <v>Paraseal</v>
      </c>
    </row>
    <row r="115" spans="1:5" x14ac:dyDescent="0.45">
      <c r="A115" t="s">
        <v>431</v>
      </c>
      <c r="B115">
        <v>0</v>
      </c>
      <c r="C115">
        <v>6</v>
      </c>
      <c r="D115">
        <v>114</v>
      </c>
      <c r="E115" s="11" t="str">
        <f>VLOOKUP(labors[[#This Row],[Column1.projectId]],projects[],2,FALSE)</f>
        <v>Paraseal</v>
      </c>
    </row>
    <row r="116" spans="1:5" x14ac:dyDescent="0.45">
      <c r="A116" t="s">
        <v>432</v>
      </c>
      <c r="B116">
        <v>-0.6</v>
      </c>
      <c r="C116">
        <v>6</v>
      </c>
      <c r="D116">
        <v>115</v>
      </c>
      <c r="E116" s="11" t="str">
        <f>VLOOKUP(labors[[#This Row],[Column1.projectId]],projects[],2,FALSE)</f>
        <v>Paraseal</v>
      </c>
    </row>
    <row r="117" spans="1:5" x14ac:dyDescent="0.45">
      <c r="A117" t="s">
        <v>433</v>
      </c>
      <c r="B117">
        <v>0.65</v>
      </c>
      <c r="C117">
        <v>6</v>
      </c>
      <c r="D117">
        <v>116</v>
      </c>
      <c r="E117" s="11" t="str">
        <f>VLOOKUP(labors[[#This Row],[Column1.projectId]],projects[],2,FALSE)</f>
        <v>Paraseal</v>
      </c>
    </row>
    <row r="118" spans="1:5" x14ac:dyDescent="0.45">
      <c r="A118" t="s">
        <v>434</v>
      </c>
      <c r="B118">
        <v>2.6249999999999999E-2</v>
      </c>
      <c r="C118">
        <v>6</v>
      </c>
      <c r="D118">
        <v>117</v>
      </c>
      <c r="E118" s="11" t="str">
        <f>VLOOKUP(labors[[#This Row],[Column1.projectId]],projects[],2,FALSE)</f>
        <v>Paraseal</v>
      </c>
    </row>
    <row r="119" spans="1:5" x14ac:dyDescent="0.45">
      <c r="A119" t="s">
        <v>435</v>
      </c>
      <c r="B119">
        <v>0.03</v>
      </c>
      <c r="C119">
        <v>6</v>
      </c>
      <c r="D119">
        <v>118</v>
      </c>
      <c r="E119" s="11" t="str">
        <f>VLOOKUP(labors[[#This Row],[Column1.projectId]],projects[],2,FALSE)</f>
        <v>Paraseal</v>
      </c>
    </row>
    <row r="120" spans="1:5" x14ac:dyDescent="0.45">
      <c r="A120" t="s">
        <v>436</v>
      </c>
      <c r="B120">
        <v>0.05</v>
      </c>
      <c r="C120">
        <v>6</v>
      </c>
      <c r="D120">
        <v>119</v>
      </c>
      <c r="E120" s="11" t="str">
        <f>VLOOKUP(labors[[#This Row],[Column1.projectId]],projects[],2,FALSE)</f>
        <v>Paraseal</v>
      </c>
    </row>
    <row r="121" spans="1:5" x14ac:dyDescent="0.45">
      <c r="A121" t="s">
        <v>437</v>
      </c>
      <c r="B121">
        <v>0</v>
      </c>
      <c r="C121">
        <v>6</v>
      </c>
      <c r="D121">
        <v>120</v>
      </c>
      <c r="E121" s="11" t="str">
        <f>VLOOKUP(labors[[#This Row],[Column1.projectId]],projects[],2,FALSE)</f>
        <v>Paraseal</v>
      </c>
    </row>
    <row r="122" spans="1:5" x14ac:dyDescent="0.45">
      <c r="A122" t="s">
        <v>438</v>
      </c>
      <c r="B122">
        <v>0</v>
      </c>
      <c r="C122">
        <v>6</v>
      </c>
      <c r="D122">
        <v>121</v>
      </c>
      <c r="E122" s="11" t="str">
        <f>VLOOKUP(labors[[#This Row],[Column1.projectId]],projects[],2,FALSE)</f>
        <v>Paraseal</v>
      </c>
    </row>
    <row r="123" spans="1:5" x14ac:dyDescent="0.45">
      <c r="A123" t="s">
        <v>439</v>
      </c>
      <c r="B123">
        <v>0</v>
      </c>
      <c r="C123">
        <v>6</v>
      </c>
      <c r="D123">
        <v>122</v>
      </c>
      <c r="E123" s="11" t="str">
        <f>VLOOKUP(labors[[#This Row],[Column1.projectId]],projects[],2,FALSE)</f>
        <v>Paraseal</v>
      </c>
    </row>
    <row r="124" spans="1:5" x14ac:dyDescent="0.45">
      <c r="A124" t="s">
        <v>440</v>
      </c>
      <c r="B124">
        <v>0.35</v>
      </c>
      <c r="C124">
        <v>6</v>
      </c>
      <c r="D124">
        <v>123</v>
      </c>
      <c r="E124" s="11" t="str">
        <f>VLOOKUP(labors[[#This Row],[Column1.projectId]],projects[],2,FALSE)</f>
        <v>Paraseal</v>
      </c>
    </row>
    <row r="125" spans="1:5" x14ac:dyDescent="0.45">
      <c r="A125" t="s">
        <v>441</v>
      </c>
      <c r="B125">
        <v>0.36</v>
      </c>
      <c r="C125">
        <v>6</v>
      </c>
      <c r="D125">
        <v>124</v>
      </c>
      <c r="E125" s="11" t="str">
        <f>VLOOKUP(labors[[#This Row],[Column1.projectId]],projects[],2,FALSE)</f>
        <v>Paraseal</v>
      </c>
    </row>
    <row r="126" spans="1:5" x14ac:dyDescent="0.45">
      <c r="A126" t="s">
        <v>442</v>
      </c>
      <c r="B126">
        <v>0.35</v>
      </c>
      <c r="C126">
        <v>6</v>
      </c>
      <c r="D126">
        <v>125</v>
      </c>
      <c r="E126" s="11" t="str">
        <f>VLOOKUP(labors[[#This Row],[Column1.projectId]],projects[],2,FALSE)</f>
        <v>Paraseal</v>
      </c>
    </row>
    <row r="127" spans="1:5" x14ac:dyDescent="0.45">
      <c r="A127" t="s">
        <v>443</v>
      </c>
      <c r="B127">
        <v>0.85</v>
      </c>
      <c r="C127">
        <v>6</v>
      </c>
      <c r="D127">
        <v>126</v>
      </c>
      <c r="E127" s="11" t="str">
        <f>VLOOKUP(labors[[#This Row],[Column1.projectId]],projects[],2,FALSE)</f>
        <v>Paraseal</v>
      </c>
    </row>
    <row r="128" spans="1:5" x14ac:dyDescent="0.45">
      <c r="A128" t="s">
        <v>423</v>
      </c>
      <c r="B128">
        <v>1.0015000000000001</v>
      </c>
      <c r="C128">
        <v>7</v>
      </c>
      <c r="D128">
        <v>127</v>
      </c>
      <c r="E128" s="11" t="str">
        <f>VLOOKUP(labors[[#This Row],[Column1.projectId]],projects[],2,FALSE)</f>
        <v>Paraseal LG</v>
      </c>
    </row>
    <row r="129" spans="1:5" x14ac:dyDescent="0.45">
      <c r="A129" t="s">
        <v>424</v>
      </c>
      <c r="B129">
        <v>-0.125</v>
      </c>
      <c r="C129">
        <v>7</v>
      </c>
      <c r="D129">
        <v>128</v>
      </c>
      <c r="E129" s="11" t="str">
        <f>VLOOKUP(labors[[#This Row],[Column1.projectId]],projects[],2,FALSE)</f>
        <v>Paraseal LG</v>
      </c>
    </row>
    <row r="130" spans="1:5" x14ac:dyDescent="0.45">
      <c r="A130" t="s">
        <v>425</v>
      </c>
      <c r="B130">
        <v>0.06</v>
      </c>
      <c r="C130">
        <v>7</v>
      </c>
      <c r="D130">
        <v>129</v>
      </c>
      <c r="E130" s="11" t="str">
        <f>VLOOKUP(labors[[#This Row],[Column1.projectId]],projects[],2,FALSE)</f>
        <v>Paraseal LG</v>
      </c>
    </row>
    <row r="131" spans="1:5" x14ac:dyDescent="0.45">
      <c r="A131" t="s">
        <v>426</v>
      </c>
      <c r="B131">
        <v>0.13</v>
      </c>
      <c r="C131">
        <v>7</v>
      </c>
      <c r="D131">
        <v>130</v>
      </c>
      <c r="E131" s="11" t="str">
        <f>VLOOKUP(labors[[#This Row],[Column1.projectId]],projects[],2,FALSE)</f>
        <v>Paraseal LG</v>
      </c>
    </row>
    <row r="132" spans="1:5" x14ac:dyDescent="0.45">
      <c r="A132" t="s">
        <v>427</v>
      </c>
      <c r="B132">
        <v>0.1</v>
      </c>
      <c r="C132">
        <v>7</v>
      </c>
      <c r="D132">
        <v>131</v>
      </c>
      <c r="E132" s="11" t="str">
        <f>VLOOKUP(labors[[#This Row],[Column1.projectId]],projects[],2,FALSE)</f>
        <v>Paraseal LG</v>
      </c>
    </row>
    <row r="133" spans="1:5" x14ac:dyDescent="0.45">
      <c r="A133" t="s">
        <v>428</v>
      </c>
      <c r="B133">
        <v>0.1515</v>
      </c>
      <c r="C133">
        <v>7</v>
      </c>
      <c r="D133">
        <v>132</v>
      </c>
      <c r="E133" s="11" t="str">
        <f>VLOOKUP(labors[[#This Row],[Column1.projectId]],projects[],2,FALSE)</f>
        <v>Paraseal LG</v>
      </c>
    </row>
    <row r="134" spans="1:5" x14ac:dyDescent="0.45">
      <c r="A134" t="s">
        <v>429</v>
      </c>
      <c r="B134">
        <v>0.08</v>
      </c>
      <c r="C134">
        <v>7</v>
      </c>
      <c r="D134">
        <v>133</v>
      </c>
      <c r="E134" s="11" t="str">
        <f>VLOOKUP(labors[[#This Row],[Column1.projectId]],projects[],2,FALSE)</f>
        <v>Paraseal LG</v>
      </c>
    </row>
    <row r="135" spans="1:5" x14ac:dyDescent="0.45">
      <c r="A135" t="s">
        <v>430</v>
      </c>
      <c r="B135">
        <v>0.35</v>
      </c>
      <c r="C135">
        <v>7</v>
      </c>
      <c r="D135">
        <v>134</v>
      </c>
      <c r="E135" s="11" t="str">
        <f>VLOOKUP(labors[[#This Row],[Column1.projectId]],projects[],2,FALSE)</f>
        <v>Paraseal LG</v>
      </c>
    </row>
    <row r="136" spans="1:5" x14ac:dyDescent="0.45">
      <c r="A136" t="s">
        <v>431</v>
      </c>
      <c r="B136">
        <v>0</v>
      </c>
      <c r="C136">
        <v>7</v>
      </c>
      <c r="D136">
        <v>135</v>
      </c>
      <c r="E136" s="11" t="str">
        <f>VLOOKUP(labors[[#This Row],[Column1.projectId]],projects[],2,FALSE)</f>
        <v>Paraseal LG</v>
      </c>
    </row>
    <row r="137" spans="1:5" x14ac:dyDescent="0.45">
      <c r="A137" t="s">
        <v>432</v>
      </c>
      <c r="B137">
        <v>-0.6</v>
      </c>
      <c r="C137">
        <v>7</v>
      </c>
      <c r="D137">
        <v>136</v>
      </c>
      <c r="E137" s="11" t="str">
        <f>VLOOKUP(labors[[#This Row],[Column1.projectId]],projects[],2,FALSE)</f>
        <v>Paraseal LG</v>
      </c>
    </row>
    <row r="138" spans="1:5" x14ac:dyDescent="0.45">
      <c r="A138" t="s">
        <v>433</v>
      </c>
      <c r="B138">
        <v>0.65</v>
      </c>
      <c r="C138">
        <v>7</v>
      </c>
      <c r="D138">
        <v>137</v>
      </c>
      <c r="E138" s="11" t="str">
        <f>VLOOKUP(labors[[#This Row],[Column1.projectId]],projects[],2,FALSE)</f>
        <v>Paraseal LG</v>
      </c>
    </row>
    <row r="139" spans="1:5" x14ac:dyDescent="0.45">
      <c r="A139" t="s">
        <v>434</v>
      </c>
      <c r="B139">
        <v>2.6249999999999999E-2</v>
      </c>
      <c r="C139">
        <v>7</v>
      </c>
      <c r="D139">
        <v>138</v>
      </c>
      <c r="E139" s="11" t="str">
        <f>VLOOKUP(labors[[#This Row],[Column1.projectId]],projects[],2,FALSE)</f>
        <v>Paraseal LG</v>
      </c>
    </row>
    <row r="140" spans="1:5" x14ac:dyDescent="0.45">
      <c r="A140" t="s">
        <v>435</v>
      </c>
      <c r="B140">
        <v>0.03</v>
      </c>
      <c r="C140">
        <v>7</v>
      </c>
      <c r="D140">
        <v>139</v>
      </c>
      <c r="E140" s="11" t="str">
        <f>VLOOKUP(labors[[#This Row],[Column1.projectId]],projects[],2,FALSE)</f>
        <v>Paraseal LG</v>
      </c>
    </row>
    <row r="141" spans="1:5" x14ac:dyDescent="0.45">
      <c r="A141" t="s">
        <v>436</v>
      </c>
      <c r="B141">
        <v>0.05</v>
      </c>
      <c r="C141">
        <v>7</v>
      </c>
      <c r="D141">
        <v>140</v>
      </c>
      <c r="E141" s="11" t="str">
        <f>VLOOKUP(labors[[#This Row],[Column1.projectId]],projects[],2,FALSE)</f>
        <v>Paraseal LG</v>
      </c>
    </row>
    <row r="142" spans="1:5" x14ac:dyDescent="0.45">
      <c r="A142" t="s">
        <v>437</v>
      </c>
      <c r="B142">
        <v>0</v>
      </c>
      <c r="C142">
        <v>7</v>
      </c>
      <c r="D142">
        <v>141</v>
      </c>
      <c r="E142" s="11" t="str">
        <f>VLOOKUP(labors[[#This Row],[Column1.projectId]],projects[],2,FALSE)</f>
        <v>Paraseal LG</v>
      </c>
    </row>
    <row r="143" spans="1:5" x14ac:dyDescent="0.45">
      <c r="A143" t="s">
        <v>438</v>
      </c>
      <c r="B143">
        <v>0</v>
      </c>
      <c r="C143">
        <v>7</v>
      </c>
      <c r="D143">
        <v>142</v>
      </c>
      <c r="E143" s="11" t="str">
        <f>VLOOKUP(labors[[#This Row],[Column1.projectId]],projects[],2,FALSE)</f>
        <v>Paraseal LG</v>
      </c>
    </row>
    <row r="144" spans="1:5" x14ac:dyDescent="0.45">
      <c r="A144" t="s">
        <v>439</v>
      </c>
      <c r="B144">
        <v>0</v>
      </c>
      <c r="C144">
        <v>7</v>
      </c>
      <c r="D144">
        <v>143</v>
      </c>
      <c r="E144" s="11" t="str">
        <f>VLOOKUP(labors[[#This Row],[Column1.projectId]],projects[],2,FALSE)</f>
        <v>Paraseal LG</v>
      </c>
    </row>
    <row r="145" spans="1:5" x14ac:dyDescent="0.45">
      <c r="A145" t="s">
        <v>440</v>
      </c>
      <c r="B145">
        <v>0.35</v>
      </c>
      <c r="C145">
        <v>7</v>
      </c>
      <c r="D145">
        <v>144</v>
      </c>
      <c r="E145" s="11" t="str">
        <f>VLOOKUP(labors[[#This Row],[Column1.projectId]],projects[],2,FALSE)</f>
        <v>Paraseal LG</v>
      </c>
    </row>
    <row r="146" spans="1:5" x14ac:dyDescent="0.45">
      <c r="A146" t="s">
        <v>441</v>
      </c>
      <c r="B146">
        <v>0.36</v>
      </c>
      <c r="C146">
        <v>7</v>
      </c>
      <c r="D146">
        <v>145</v>
      </c>
      <c r="E146" s="11" t="str">
        <f>VLOOKUP(labors[[#This Row],[Column1.projectId]],projects[],2,FALSE)</f>
        <v>Paraseal LG</v>
      </c>
    </row>
    <row r="147" spans="1:5" x14ac:dyDescent="0.45">
      <c r="A147" t="s">
        <v>442</v>
      </c>
      <c r="B147">
        <v>0.35</v>
      </c>
      <c r="C147">
        <v>7</v>
      </c>
      <c r="D147">
        <v>146</v>
      </c>
      <c r="E147" s="11" t="str">
        <f>VLOOKUP(labors[[#This Row],[Column1.projectId]],projects[],2,FALSE)</f>
        <v>Paraseal LG</v>
      </c>
    </row>
    <row r="148" spans="1:5" x14ac:dyDescent="0.45">
      <c r="A148" t="s">
        <v>443</v>
      </c>
      <c r="B148">
        <v>0.85</v>
      </c>
      <c r="C148">
        <v>7</v>
      </c>
      <c r="D148">
        <v>147</v>
      </c>
      <c r="E148" s="11" t="str">
        <f>VLOOKUP(labors[[#This Row],[Column1.projectId]],projects[],2,FALSE)</f>
        <v>Paraseal LG</v>
      </c>
    </row>
    <row r="149" spans="1:5" x14ac:dyDescent="0.45">
      <c r="A149" t="s">
        <v>423</v>
      </c>
      <c r="B149">
        <v>1.0015000000000001</v>
      </c>
      <c r="C149">
        <v>8</v>
      </c>
      <c r="D149">
        <v>148</v>
      </c>
      <c r="E149" s="11" t="str">
        <f>VLOOKUP(labors[[#This Row],[Column1.projectId]],projects[],2,FALSE)</f>
        <v>860 Carlisle</v>
      </c>
    </row>
    <row r="150" spans="1:5" x14ac:dyDescent="0.45">
      <c r="A150" t="s">
        <v>424</v>
      </c>
      <c r="B150">
        <v>-0.125</v>
      </c>
      <c r="C150">
        <v>8</v>
      </c>
      <c r="D150">
        <v>149</v>
      </c>
      <c r="E150" s="11" t="str">
        <f>VLOOKUP(labors[[#This Row],[Column1.projectId]],projects[],2,FALSE)</f>
        <v>860 Carlisle</v>
      </c>
    </row>
    <row r="151" spans="1:5" x14ac:dyDescent="0.45">
      <c r="A151" t="s">
        <v>425</v>
      </c>
      <c r="B151">
        <v>0.06</v>
      </c>
      <c r="C151">
        <v>8</v>
      </c>
      <c r="D151">
        <v>150</v>
      </c>
      <c r="E151" s="11" t="str">
        <f>VLOOKUP(labors[[#This Row],[Column1.projectId]],projects[],2,FALSE)</f>
        <v>860 Carlisle</v>
      </c>
    </row>
    <row r="152" spans="1:5" x14ac:dyDescent="0.45">
      <c r="A152" t="s">
        <v>426</v>
      </c>
      <c r="B152">
        <v>0.13</v>
      </c>
      <c r="C152">
        <v>8</v>
      </c>
      <c r="D152">
        <v>151</v>
      </c>
      <c r="E152" s="11" t="str">
        <f>VLOOKUP(labors[[#This Row],[Column1.projectId]],projects[],2,FALSE)</f>
        <v>860 Carlisle</v>
      </c>
    </row>
    <row r="153" spans="1:5" x14ac:dyDescent="0.45">
      <c r="A153" t="s">
        <v>427</v>
      </c>
      <c r="B153">
        <v>0.1</v>
      </c>
      <c r="C153">
        <v>8</v>
      </c>
      <c r="D153">
        <v>152</v>
      </c>
      <c r="E153" s="11" t="str">
        <f>VLOOKUP(labors[[#This Row],[Column1.projectId]],projects[],2,FALSE)</f>
        <v>860 Carlisle</v>
      </c>
    </row>
    <row r="154" spans="1:5" x14ac:dyDescent="0.45">
      <c r="A154" t="s">
        <v>428</v>
      </c>
      <c r="B154">
        <v>0.1515</v>
      </c>
      <c r="C154">
        <v>8</v>
      </c>
      <c r="D154">
        <v>153</v>
      </c>
      <c r="E154" s="11" t="str">
        <f>VLOOKUP(labors[[#This Row],[Column1.projectId]],projects[],2,FALSE)</f>
        <v>860 Carlisle</v>
      </c>
    </row>
    <row r="155" spans="1:5" x14ac:dyDescent="0.45">
      <c r="A155" t="s">
        <v>429</v>
      </c>
      <c r="B155">
        <v>0.08</v>
      </c>
      <c r="C155">
        <v>8</v>
      </c>
      <c r="D155">
        <v>154</v>
      </c>
      <c r="E155" s="11" t="str">
        <f>VLOOKUP(labors[[#This Row],[Column1.projectId]],projects[],2,FALSE)</f>
        <v>860 Carlisle</v>
      </c>
    </row>
    <row r="156" spans="1:5" x14ac:dyDescent="0.45">
      <c r="A156" t="s">
        <v>430</v>
      </c>
      <c r="B156">
        <v>0.35</v>
      </c>
      <c r="C156">
        <v>8</v>
      </c>
      <c r="D156">
        <v>155</v>
      </c>
      <c r="E156" s="11" t="str">
        <f>VLOOKUP(labors[[#This Row],[Column1.projectId]],projects[],2,FALSE)</f>
        <v>860 Carlisle</v>
      </c>
    </row>
    <row r="157" spans="1:5" x14ac:dyDescent="0.45">
      <c r="A157" t="s">
        <v>431</v>
      </c>
      <c r="B157">
        <v>0</v>
      </c>
      <c r="C157">
        <v>8</v>
      </c>
      <c r="D157">
        <v>156</v>
      </c>
      <c r="E157" s="11" t="str">
        <f>VLOOKUP(labors[[#This Row],[Column1.projectId]],projects[],2,FALSE)</f>
        <v>860 Carlisle</v>
      </c>
    </row>
    <row r="158" spans="1:5" x14ac:dyDescent="0.45">
      <c r="A158" t="s">
        <v>432</v>
      </c>
      <c r="B158">
        <v>-0.6</v>
      </c>
      <c r="C158">
        <v>8</v>
      </c>
      <c r="D158">
        <v>157</v>
      </c>
      <c r="E158" s="11" t="str">
        <f>VLOOKUP(labors[[#This Row],[Column1.projectId]],projects[],2,FALSE)</f>
        <v>860 Carlisle</v>
      </c>
    </row>
    <row r="159" spans="1:5" x14ac:dyDescent="0.45">
      <c r="A159" t="s">
        <v>433</v>
      </c>
      <c r="B159">
        <v>0.65</v>
      </c>
      <c r="C159">
        <v>8</v>
      </c>
      <c r="D159">
        <v>158</v>
      </c>
      <c r="E159" s="11" t="str">
        <f>VLOOKUP(labors[[#This Row],[Column1.projectId]],projects[],2,FALSE)</f>
        <v>860 Carlisle</v>
      </c>
    </row>
    <row r="160" spans="1:5" x14ac:dyDescent="0.45">
      <c r="A160" t="s">
        <v>434</v>
      </c>
      <c r="B160">
        <v>2.6249999999999999E-2</v>
      </c>
      <c r="C160">
        <v>8</v>
      </c>
      <c r="D160">
        <v>159</v>
      </c>
      <c r="E160" s="11" t="str">
        <f>VLOOKUP(labors[[#This Row],[Column1.projectId]],projects[],2,FALSE)</f>
        <v>860 Carlisle</v>
      </c>
    </row>
    <row r="161" spans="1:5" x14ac:dyDescent="0.45">
      <c r="A161" t="s">
        <v>435</v>
      </c>
      <c r="B161">
        <v>0.03</v>
      </c>
      <c r="C161">
        <v>8</v>
      </c>
      <c r="D161">
        <v>160</v>
      </c>
      <c r="E161" s="11" t="str">
        <f>VLOOKUP(labors[[#This Row],[Column1.projectId]],projects[],2,FALSE)</f>
        <v>860 Carlisle</v>
      </c>
    </row>
    <row r="162" spans="1:5" x14ac:dyDescent="0.45">
      <c r="A162" t="s">
        <v>436</v>
      </c>
      <c r="B162">
        <v>0.05</v>
      </c>
      <c r="C162">
        <v>8</v>
      </c>
      <c r="D162">
        <v>161</v>
      </c>
      <c r="E162" s="11" t="str">
        <f>VLOOKUP(labors[[#This Row],[Column1.projectId]],projects[],2,FALSE)</f>
        <v>860 Carlisle</v>
      </c>
    </row>
    <row r="163" spans="1:5" x14ac:dyDescent="0.45">
      <c r="A163" t="s">
        <v>437</v>
      </c>
      <c r="B163">
        <v>0</v>
      </c>
      <c r="C163">
        <v>8</v>
      </c>
      <c r="D163">
        <v>162</v>
      </c>
      <c r="E163" s="11" t="str">
        <f>VLOOKUP(labors[[#This Row],[Column1.projectId]],projects[],2,FALSE)</f>
        <v>860 Carlisle</v>
      </c>
    </row>
    <row r="164" spans="1:5" x14ac:dyDescent="0.45">
      <c r="A164" t="s">
        <v>438</v>
      </c>
      <c r="B164">
        <v>0</v>
      </c>
      <c r="C164">
        <v>8</v>
      </c>
      <c r="D164">
        <v>163</v>
      </c>
      <c r="E164" s="11" t="str">
        <f>VLOOKUP(labors[[#This Row],[Column1.projectId]],projects[],2,FALSE)</f>
        <v>860 Carlisle</v>
      </c>
    </row>
    <row r="165" spans="1:5" x14ac:dyDescent="0.45">
      <c r="A165" t="s">
        <v>439</v>
      </c>
      <c r="B165">
        <v>0</v>
      </c>
      <c r="C165">
        <v>8</v>
      </c>
      <c r="D165">
        <v>164</v>
      </c>
      <c r="E165" s="11" t="str">
        <f>VLOOKUP(labors[[#This Row],[Column1.projectId]],projects[],2,FALSE)</f>
        <v>860 Carlisle</v>
      </c>
    </row>
    <row r="166" spans="1:5" x14ac:dyDescent="0.45">
      <c r="A166" t="s">
        <v>440</v>
      </c>
      <c r="B166">
        <v>0.35</v>
      </c>
      <c r="C166">
        <v>8</v>
      </c>
      <c r="D166">
        <v>165</v>
      </c>
      <c r="E166" s="11" t="str">
        <f>VLOOKUP(labors[[#This Row],[Column1.projectId]],projects[],2,FALSE)</f>
        <v>860 Carlisle</v>
      </c>
    </row>
    <row r="167" spans="1:5" x14ac:dyDescent="0.45">
      <c r="A167" t="s">
        <v>441</v>
      </c>
      <c r="B167">
        <v>0.38</v>
      </c>
      <c r="C167">
        <v>8</v>
      </c>
      <c r="D167">
        <v>166</v>
      </c>
      <c r="E167" s="11" t="str">
        <f>VLOOKUP(labors[[#This Row],[Column1.projectId]],projects[],2,FALSE)</f>
        <v>860 Carlisle</v>
      </c>
    </row>
    <row r="168" spans="1:5" x14ac:dyDescent="0.45">
      <c r="A168" t="s">
        <v>442</v>
      </c>
      <c r="B168">
        <v>0.35</v>
      </c>
      <c r="C168">
        <v>8</v>
      </c>
      <c r="D168">
        <v>167</v>
      </c>
      <c r="E168" s="11" t="str">
        <f>VLOOKUP(labors[[#This Row],[Column1.projectId]],projects[],2,FALSE)</f>
        <v>860 Carlisle</v>
      </c>
    </row>
    <row r="169" spans="1:5" x14ac:dyDescent="0.45">
      <c r="A169" t="s">
        <v>443</v>
      </c>
      <c r="B169">
        <v>0.85</v>
      </c>
      <c r="C169">
        <v>8</v>
      </c>
      <c r="D169">
        <v>168</v>
      </c>
      <c r="E169" s="11" t="str">
        <f>VLOOKUP(labors[[#This Row],[Column1.projectId]],projects[],2,FALSE)</f>
        <v>860 Carlisle</v>
      </c>
    </row>
    <row r="170" spans="1:5" x14ac:dyDescent="0.45">
      <c r="A170" t="s">
        <v>423</v>
      </c>
      <c r="B170">
        <v>1.0015000000000001</v>
      </c>
      <c r="C170">
        <v>9</v>
      </c>
      <c r="D170">
        <v>169</v>
      </c>
      <c r="E170" s="11" t="str">
        <f>VLOOKUP(labors[[#This Row],[Column1.projectId]],projects[],2,FALSE)</f>
        <v>201</v>
      </c>
    </row>
    <row r="171" spans="1:5" x14ac:dyDescent="0.45">
      <c r="A171" t="s">
        <v>424</v>
      </c>
      <c r="B171">
        <v>-0.125</v>
      </c>
      <c r="C171">
        <v>9</v>
      </c>
      <c r="D171">
        <v>170</v>
      </c>
      <c r="E171" s="11" t="str">
        <f>VLOOKUP(labors[[#This Row],[Column1.projectId]],projects[],2,FALSE)</f>
        <v>201</v>
      </c>
    </row>
    <row r="172" spans="1:5" x14ac:dyDescent="0.45">
      <c r="A172" t="s">
        <v>425</v>
      </c>
      <c r="B172">
        <v>0.06</v>
      </c>
      <c r="C172">
        <v>9</v>
      </c>
      <c r="D172">
        <v>171</v>
      </c>
      <c r="E172" s="11" t="str">
        <f>VLOOKUP(labors[[#This Row],[Column1.projectId]],projects[],2,FALSE)</f>
        <v>201</v>
      </c>
    </row>
    <row r="173" spans="1:5" x14ac:dyDescent="0.45">
      <c r="A173" t="s">
        <v>426</v>
      </c>
      <c r="B173">
        <v>0.13</v>
      </c>
      <c r="C173">
        <v>9</v>
      </c>
      <c r="D173">
        <v>172</v>
      </c>
      <c r="E173" s="11" t="str">
        <f>VLOOKUP(labors[[#This Row],[Column1.projectId]],projects[],2,FALSE)</f>
        <v>201</v>
      </c>
    </row>
    <row r="174" spans="1:5" x14ac:dyDescent="0.45">
      <c r="A174" t="s">
        <v>427</v>
      </c>
      <c r="B174">
        <v>0.1</v>
      </c>
      <c r="C174">
        <v>9</v>
      </c>
      <c r="D174">
        <v>173</v>
      </c>
      <c r="E174" s="11" t="str">
        <f>VLOOKUP(labors[[#This Row],[Column1.projectId]],projects[],2,FALSE)</f>
        <v>201</v>
      </c>
    </row>
    <row r="175" spans="1:5" x14ac:dyDescent="0.45">
      <c r="A175" t="s">
        <v>428</v>
      </c>
      <c r="B175">
        <v>0.1515</v>
      </c>
      <c r="C175">
        <v>9</v>
      </c>
      <c r="D175">
        <v>174</v>
      </c>
      <c r="E175" s="11" t="str">
        <f>VLOOKUP(labors[[#This Row],[Column1.projectId]],projects[],2,FALSE)</f>
        <v>201</v>
      </c>
    </row>
    <row r="176" spans="1:5" x14ac:dyDescent="0.45">
      <c r="A176" t="s">
        <v>429</v>
      </c>
      <c r="B176">
        <v>0.08</v>
      </c>
      <c r="C176">
        <v>9</v>
      </c>
      <c r="D176">
        <v>175</v>
      </c>
      <c r="E176" s="11" t="str">
        <f>VLOOKUP(labors[[#This Row],[Column1.projectId]],projects[],2,FALSE)</f>
        <v>201</v>
      </c>
    </row>
    <row r="177" spans="1:5" x14ac:dyDescent="0.45">
      <c r="A177" t="s">
        <v>430</v>
      </c>
      <c r="B177">
        <v>0.35</v>
      </c>
      <c r="C177">
        <v>9</v>
      </c>
      <c r="D177">
        <v>176</v>
      </c>
      <c r="E177" s="11" t="str">
        <f>VLOOKUP(labors[[#This Row],[Column1.projectId]],projects[],2,FALSE)</f>
        <v>201</v>
      </c>
    </row>
    <row r="178" spans="1:5" x14ac:dyDescent="0.45">
      <c r="A178" t="s">
        <v>431</v>
      </c>
      <c r="B178">
        <v>0</v>
      </c>
      <c r="C178">
        <v>9</v>
      </c>
      <c r="D178">
        <v>177</v>
      </c>
      <c r="E178" s="11" t="str">
        <f>VLOOKUP(labors[[#This Row],[Column1.projectId]],projects[],2,FALSE)</f>
        <v>201</v>
      </c>
    </row>
    <row r="179" spans="1:5" x14ac:dyDescent="0.45">
      <c r="A179" t="s">
        <v>432</v>
      </c>
      <c r="B179">
        <v>-0.6</v>
      </c>
      <c r="C179">
        <v>9</v>
      </c>
      <c r="D179">
        <v>178</v>
      </c>
      <c r="E179" s="11" t="str">
        <f>VLOOKUP(labors[[#This Row],[Column1.projectId]],projects[],2,FALSE)</f>
        <v>201</v>
      </c>
    </row>
    <row r="180" spans="1:5" x14ac:dyDescent="0.45">
      <c r="A180" t="s">
        <v>433</v>
      </c>
      <c r="B180">
        <v>0.65</v>
      </c>
      <c r="C180">
        <v>9</v>
      </c>
      <c r="D180">
        <v>179</v>
      </c>
      <c r="E180" s="11" t="str">
        <f>VLOOKUP(labors[[#This Row],[Column1.projectId]],projects[],2,FALSE)</f>
        <v>201</v>
      </c>
    </row>
    <row r="181" spans="1:5" x14ac:dyDescent="0.45">
      <c r="A181" t="s">
        <v>434</v>
      </c>
      <c r="B181">
        <v>2.6249999999999999E-2</v>
      </c>
      <c r="C181">
        <v>9</v>
      </c>
      <c r="D181">
        <v>180</v>
      </c>
      <c r="E181" s="11" t="str">
        <f>VLOOKUP(labors[[#This Row],[Column1.projectId]],projects[],2,FALSE)</f>
        <v>201</v>
      </c>
    </row>
    <row r="182" spans="1:5" x14ac:dyDescent="0.45">
      <c r="A182" t="s">
        <v>435</v>
      </c>
      <c r="B182">
        <v>0.03</v>
      </c>
      <c r="C182">
        <v>9</v>
      </c>
      <c r="D182">
        <v>181</v>
      </c>
      <c r="E182" s="11" t="str">
        <f>VLOOKUP(labors[[#This Row],[Column1.projectId]],projects[],2,FALSE)</f>
        <v>201</v>
      </c>
    </row>
    <row r="183" spans="1:5" x14ac:dyDescent="0.45">
      <c r="A183" t="s">
        <v>436</v>
      </c>
      <c r="B183">
        <v>0.05</v>
      </c>
      <c r="C183">
        <v>9</v>
      </c>
      <c r="D183">
        <v>182</v>
      </c>
      <c r="E183" s="11" t="str">
        <f>VLOOKUP(labors[[#This Row],[Column1.projectId]],projects[],2,FALSE)</f>
        <v>201</v>
      </c>
    </row>
    <row r="184" spans="1:5" x14ac:dyDescent="0.45">
      <c r="A184" t="s">
        <v>437</v>
      </c>
      <c r="B184">
        <v>0</v>
      </c>
      <c r="C184">
        <v>9</v>
      </c>
      <c r="D184">
        <v>183</v>
      </c>
      <c r="E184" s="11" t="str">
        <f>VLOOKUP(labors[[#This Row],[Column1.projectId]],projects[],2,FALSE)</f>
        <v>201</v>
      </c>
    </row>
    <row r="185" spans="1:5" x14ac:dyDescent="0.45">
      <c r="A185" t="s">
        <v>438</v>
      </c>
      <c r="B185">
        <v>0</v>
      </c>
      <c r="C185">
        <v>9</v>
      </c>
      <c r="D185">
        <v>184</v>
      </c>
      <c r="E185" s="11" t="str">
        <f>VLOOKUP(labors[[#This Row],[Column1.projectId]],projects[],2,FALSE)</f>
        <v>201</v>
      </c>
    </row>
    <row r="186" spans="1:5" x14ac:dyDescent="0.45">
      <c r="A186" t="s">
        <v>439</v>
      </c>
      <c r="B186">
        <v>0</v>
      </c>
      <c r="C186">
        <v>9</v>
      </c>
      <c r="D186">
        <v>185</v>
      </c>
      <c r="E186" s="11" t="str">
        <f>VLOOKUP(labors[[#This Row],[Column1.projectId]],projects[],2,FALSE)</f>
        <v>201</v>
      </c>
    </row>
    <row r="187" spans="1:5" x14ac:dyDescent="0.45">
      <c r="A187" t="s">
        <v>440</v>
      </c>
      <c r="B187">
        <v>0.35</v>
      </c>
      <c r="C187">
        <v>9</v>
      </c>
      <c r="D187">
        <v>186</v>
      </c>
      <c r="E187" s="11" t="str">
        <f>VLOOKUP(labors[[#This Row],[Column1.projectId]],projects[],2,FALSE)</f>
        <v>201</v>
      </c>
    </row>
    <row r="188" spans="1:5" x14ac:dyDescent="0.45">
      <c r="A188" t="s">
        <v>441</v>
      </c>
      <c r="B188">
        <v>0.36</v>
      </c>
      <c r="C188">
        <v>9</v>
      </c>
      <c r="D188">
        <v>187</v>
      </c>
      <c r="E188" s="11" t="str">
        <f>VLOOKUP(labors[[#This Row],[Column1.projectId]],projects[],2,FALSE)</f>
        <v>201</v>
      </c>
    </row>
    <row r="189" spans="1:5" x14ac:dyDescent="0.45">
      <c r="A189" t="s">
        <v>442</v>
      </c>
      <c r="B189">
        <v>0.35</v>
      </c>
      <c r="C189">
        <v>9</v>
      </c>
      <c r="D189">
        <v>188</v>
      </c>
      <c r="E189" s="11" t="str">
        <f>VLOOKUP(labors[[#This Row],[Column1.projectId]],projects[],2,FALSE)</f>
        <v>201</v>
      </c>
    </row>
    <row r="190" spans="1:5" x14ac:dyDescent="0.45">
      <c r="A190" t="s">
        <v>443</v>
      </c>
      <c r="B190">
        <v>0.85</v>
      </c>
      <c r="C190">
        <v>9</v>
      </c>
      <c r="D190">
        <v>189</v>
      </c>
      <c r="E190" s="11" t="str">
        <f>VLOOKUP(labors[[#This Row],[Column1.projectId]],projects[],2,FALSE)</f>
        <v>201</v>
      </c>
    </row>
    <row r="191" spans="1:5" x14ac:dyDescent="0.45">
      <c r="A191" t="s">
        <v>423</v>
      </c>
      <c r="B191">
        <v>1.0015000000000001</v>
      </c>
      <c r="C191">
        <v>10</v>
      </c>
      <c r="D191">
        <v>190</v>
      </c>
      <c r="E191" s="11" t="str">
        <f>VLOOKUP(labors[[#This Row],[Column1.projectId]],projects[],2,FALSE)</f>
        <v>250 GC</v>
      </c>
    </row>
    <row r="192" spans="1:5" x14ac:dyDescent="0.45">
      <c r="A192" t="s">
        <v>424</v>
      </c>
      <c r="B192">
        <v>-0.125</v>
      </c>
      <c r="C192">
        <v>10</v>
      </c>
      <c r="D192">
        <v>191</v>
      </c>
      <c r="E192" s="11" t="str">
        <f>VLOOKUP(labors[[#This Row],[Column1.projectId]],projects[],2,FALSE)</f>
        <v>250 GC</v>
      </c>
    </row>
    <row r="193" spans="1:5" x14ac:dyDescent="0.45">
      <c r="A193" t="s">
        <v>425</v>
      </c>
      <c r="B193">
        <v>0.06</v>
      </c>
      <c r="C193">
        <v>10</v>
      </c>
      <c r="D193">
        <v>192</v>
      </c>
      <c r="E193" s="11" t="str">
        <f>VLOOKUP(labors[[#This Row],[Column1.projectId]],projects[],2,FALSE)</f>
        <v>250 GC</v>
      </c>
    </row>
    <row r="194" spans="1:5" x14ac:dyDescent="0.45">
      <c r="A194" t="s">
        <v>426</v>
      </c>
      <c r="B194">
        <v>0.13</v>
      </c>
      <c r="C194">
        <v>10</v>
      </c>
      <c r="D194">
        <v>193</v>
      </c>
      <c r="E194" s="11" t="str">
        <f>VLOOKUP(labors[[#This Row],[Column1.projectId]],projects[],2,FALSE)</f>
        <v>250 GC</v>
      </c>
    </row>
    <row r="195" spans="1:5" x14ac:dyDescent="0.45">
      <c r="A195" t="s">
        <v>427</v>
      </c>
      <c r="B195">
        <v>0.1</v>
      </c>
      <c r="C195">
        <v>10</v>
      </c>
      <c r="D195">
        <v>194</v>
      </c>
      <c r="E195" s="11" t="str">
        <f>VLOOKUP(labors[[#This Row],[Column1.projectId]],projects[],2,FALSE)</f>
        <v>250 GC</v>
      </c>
    </row>
    <row r="196" spans="1:5" x14ac:dyDescent="0.45">
      <c r="A196" t="s">
        <v>428</v>
      </c>
      <c r="B196">
        <v>0.1515</v>
      </c>
      <c r="C196">
        <v>10</v>
      </c>
      <c r="D196">
        <v>195</v>
      </c>
      <c r="E196" s="11" t="str">
        <f>VLOOKUP(labors[[#This Row],[Column1.projectId]],projects[],2,FALSE)</f>
        <v>250 GC</v>
      </c>
    </row>
    <row r="197" spans="1:5" x14ac:dyDescent="0.45">
      <c r="A197" t="s">
        <v>429</v>
      </c>
      <c r="B197">
        <v>0.08</v>
      </c>
      <c r="C197">
        <v>10</v>
      </c>
      <c r="D197">
        <v>196</v>
      </c>
      <c r="E197" s="11" t="str">
        <f>VLOOKUP(labors[[#This Row],[Column1.projectId]],projects[],2,FALSE)</f>
        <v>250 GC</v>
      </c>
    </row>
    <row r="198" spans="1:5" x14ac:dyDescent="0.45">
      <c r="A198" t="s">
        <v>430</v>
      </c>
      <c r="B198">
        <v>0.35</v>
      </c>
      <c r="C198">
        <v>10</v>
      </c>
      <c r="D198">
        <v>197</v>
      </c>
      <c r="E198" s="11" t="str">
        <f>VLOOKUP(labors[[#This Row],[Column1.projectId]],projects[],2,FALSE)</f>
        <v>250 GC</v>
      </c>
    </row>
    <row r="199" spans="1:5" x14ac:dyDescent="0.45">
      <c r="A199" t="s">
        <v>431</v>
      </c>
      <c r="B199">
        <v>0</v>
      </c>
      <c r="C199">
        <v>10</v>
      </c>
      <c r="D199">
        <v>198</v>
      </c>
      <c r="E199" s="11" t="str">
        <f>VLOOKUP(labors[[#This Row],[Column1.projectId]],projects[],2,FALSE)</f>
        <v>250 GC</v>
      </c>
    </row>
    <row r="200" spans="1:5" x14ac:dyDescent="0.45">
      <c r="A200" t="s">
        <v>432</v>
      </c>
      <c r="B200">
        <v>-0.6</v>
      </c>
      <c r="C200">
        <v>10</v>
      </c>
      <c r="D200">
        <v>199</v>
      </c>
      <c r="E200" s="11" t="str">
        <f>VLOOKUP(labors[[#This Row],[Column1.projectId]],projects[],2,FALSE)</f>
        <v>250 GC</v>
      </c>
    </row>
    <row r="201" spans="1:5" x14ac:dyDescent="0.45">
      <c r="A201" t="s">
        <v>433</v>
      </c>
      <c r="B201">
        <v>0.65</v>
      </c>
      <c r="C201">
        <v>10</v>
      </c>
      <c r="D201">
        <v>200</v>
      </c>
      <c r="E201" s="11" t="str">
        <f>VLOOKUP(labors[[#This Row],[Column1.projectId]],projects[],2,FALSE)</f>
        <v>250 GC</v>
      </c>
    </row>
    <row r="202" spans="1:5" x14ac:dyDescent="0.45">
      <c r="A202" t="s">
        <v>434</v>
      </c>
      <c r="B202">
        <v>2.6249999999999999E-2</v>
      </c>
      <c r="C202">
        <v>10</v>
      </c>
      <c r="D202">
        <v>201</v>
      </c>
      <c r="E202" s="11" t="str">
        <f>VLOOKUP(labors[[#This Row],[Column1.projectId]],projects[],2,FALSE)</f>
        <v>250 GC</v>
      </c>
    </row>
    <row r="203" spans="1:5" x14ac:dyDescent="0.45">
      <c r="A203" t="s">
        <v>435</v>
      </c>
      <c r="B203">
        <v>0.03</v>
      </c>
      <c r="C203">
        <v>10</v>
      </c>
      <c r="D203">
        <v>202</v>
      </c>
      <c r="E203" s="11" t="str">
        <f>VLOOKUP(labors[[#This Row],[Column1.projectId]],projects[],2,FALSE)</f>
        <v>250 GC</v>
      </c>
    </row>
    <row r="204" spans="1:5" x14ac:dyDescent="0.45">
      <c r="A204" t="s">
        <v>436</v>
      </c>
      <c r="B204">
        <v>0.05</v>
      </c>
      <c r="C204">
        <v>10</v>
      </c>
      <c r="D204">
        <v>203</v>
      </c>
      <c r="E204" s="11" t="str">
        <f>VLOOKUP(labors[[#This Row],[Column1.projectId]],projects[],2,FALSE)</f>
        <v>250 GC</v>
      </c>
    </row>
    <row r="205" spans="1:5" x14ac:dyDescent="0.45">
      <c r="A205" t="s">
        <v>437</v>
      </c>
      <c r="B205">
        <v>0</v>
      </c>
      <c r="C205">
        <v>10</v>
      </c>
      <c r="D205">
        <v>204</v>
      </c>
      <c r="E205" s="11" t="str">
        <f>VLOOKUP(labors[[#This Row],[Column1.projectId]],projects[],2,FALSE)</f>
        <v>250 GC</v>
      </c>
    </row>
    <row r="206" spans="1:5" x14ac:dyDescent="0.45">
      <c r="A206" t="s">
        <v>438</v>
      </c>
      <c r="B206">
        <v>0</v>
      </c>
      <c r="C206">
        <v>10</v>
      </c>
      <c r="D206">
        <v>205</v>
      </c>
      <c r="E206" s="11" t="str">
        <f>VLOOKUP(labors[[#This Row],[Column1.projectId]],projects[],2,FALSE)</f>
        <v>250 GC</v>
      </c>
    </row>
    <row r="207" spans="1:5" x14ac:dyDescent="0.45">
      <c r="A207" t="s">
        <v>439</v>
      </c>
      <c r="B207">
        <v>0</v>
      </c>
      <c r="C207">
        <v>10</v>
      </c>
      <c r="D207">
        <v>206</v>
      </c>
      <c r="E207" s="11" t="str">
        <f>VLOOKUP(labors[[#This Row],[Column1.projectId]],projects[],2,FALSE)</f>
        <v>250 GC</v>
      </c>
    </row>
    <row r="208" spans="1:5" x14ac:dyDescent="0.45">
      <c r="A208" t="s">
        <v>440</v>
      </c>
      <c r="B208">
        <v>0.35</v>
      </c>
      <c r="C208">
        <v>10</v>
      </c>
      <c r="D208">
        <v>207</v>
      </c>
      <c r="E208" s="11" t="str">
        <f>VLOOKUP(labors[[#This Row],[Column1.projectId]],projects[],2,FALSE)</f>
        <v>250 GC</v>
      </c>
    </row>
    <row r="209" spans="1:5" x14ac:dyDescent="0.45">
      <c r="A209" t="s">
        <v>441</v>
      </c>
      <c r="B209">
        <v>0.36</v>
      </c>
      <c r="C209">
        <v>10</v>
      </c>
      <c r="D209">
        <v>208</v>
      </c>
      <c r="E209" s="11" t="str">
        <f>VLOOKUP(labors[[#This Row],[Column1.projectId]],projects[],2,FALSE)</f>
        <v>250 GC</v>
      </c>
    </row>
    <row r="210" spans="1:5" x14ac:dyDescent="0.45">
      <c r="A210" t="s">
        <v>442</v>
      </c>
      <c r="B210">
        <v>0.35</v>
      </c>
      <c r="C210">
        <v>10</v>
      </c>
      <c r="D210">
        <v>209</v>
      </c>
      <c r="E210" s="11" t="str">
        <f>VLOOKUP(labors[[#This Row],[Column1.projectId]],projects[],2,FALSE)</f>
        <v>250 GC</v>
      </c>
    </row>
    <row r="211" spans="1:5" x14ac:dyDescent="0.45">
      <c r="A211" t="s">
        <v>443</v>
      </c>
      <c r="B211">
        <v>0.85</v>
      </c>
      <c r="C211">
        <v>10</v>
      </c>
      <c r="D211">
        <v>210</v>
      </c>
      <c r="E211" s="11" t="str">
        <f>VLOOKUP(labors[[#This Row],[Column1.projectId]],projects[],2,FALSE)</f>
        <v>250 GC</v>
      </c>
    </row>
    <row r="212" spans="1:5" x14ac:dyDescent="0.45">
      <c r="A212" t="s">
        <v>423</v>
      </c>
      <c r="B212">
        <v>1.0015000000000001</v>
      </c>
      <c r="C212">
        <v>11</v>
      </c>
      <c r="D212">
        <v>211</v>
      </c>
      <c r="E212" s="11" t="str">
        <f>VLOOKUP(labors[[#This Row],[Column1.projectId]],projects[],2,FALSE)</f>
        <v>Pli-Dek</v>
      </c>
    </row>
    <row r="213" spans="1:5" x14ac:dyDescent="0.45">
      <c r="A213" t="s">
        <v>424</v>
      </c>
      <c r="B213">
        <v>-0.125</v>
      </c>
      <c r="C213">
        <v>11</v>
      </c>
      <c r="D213">
        <v>212</v>
      </c>
      <c r="E213" s="11" t="str">
        <f>VLOOKUP(labors[[#This Row],[Column1.projectId]],projects[],2,FALSE)</f>
        <v>Pli-Dek</v>
      </c>
    </row>
    <row r="214" spans="1:5" x14ac:dyDescent="0.45">
      <c r="A214" t="s">
        <v>425</v>
      </c>
      <c r="B214">
        <v>0.06</v>
      </c>
      <c r="C214">
        <v>11</v>
      </c>
      <c r="D214">
        <v>213</v>
      </c>
      <c r="E214" s="11" t="str">
        <f>VLOOKUP(labors[[#This Row],[Column1.projectId]],projects[],2,FALSE)</f>
        <v>Pli-Dek</v>
      </c>
    </row>
    <row r="215" spans="1:5" x14ac:dyDescent="0.45">
      <c r="A215" t="s">
        <v>426</v>
      </c>
      <c r="B215">
        <v>0.13</v>
      </c>
      <c r="C215">
        <v>11</v>
      </c>
      <c r="D215">
        <v>214</v>
      </c>
      <c r="E215" s="11" t="str">
        <f>VLOOKUP(labors[[#This Row],[Column1.projectId]],projects[],2,FALSE)</f>
        <v>Pli-Dek</v>
      </c>
    </row>
    <row r="216" spans="1:5" x14ac:dyDescent="0.45">
      <c r="A216" t="s">
        <v>427</v>
      </c>
      <c r="B216">
        <v>0.1</v>
      </c>
      <c r="C216">
        <v>11</v>
      </c>
      <c r="D216">
        <v>215</v>
      </c>
      <c r="E216" s="11" t="str">
        <f>VLOOKUP(labors[[#This Row],[Column1.projectId]],projects[],2,FALSE)</f>
        <v>Pli-Dek</v>
      </c>
    </row>
    <row r="217" spans="1:5" x14ac:dyDescent="0.45">
      <c r="A217" t="s">
        <v>428</v>
      </c>
      <c r="B217">
        <v>0.1515</v>
      </c>
      <c r="C217">
        <v>11</v>
      </c>
      <c r="D217">
        <v>216</v>
      </c>
      <c r="E217" s="11" t="str">
        <f>VLOOKUP(labors[[#This Row],[Column1.projectId]],projects[],2,FALSE)</f>
        <v>Pli-Dek</v>
      </c>
    </row>
    <row r="218" spans="1:5" x14ac:dyDescent="0.45">
      <c r="A218" t="s">
        <v>429</v>
      </c>
      <c r="B218">
        <v>0.08</v>
      </c>
      <c r="C218">
        <v>11</v>
      </c>
      <c r="D218">
        <v>217</v>
      </c>
      <c r="E218" s="11" t="str">
        <f>VLOOKUP(labors[[#This Row],[Column1.projectId]],projects[],2,FALSE)</f>
        <v>Pli-Dek</v>
      </c>
    </row>
    <row r="219" spans="1:5" x14ac:dyDescent="0.45">
      <c r="A219" t="s">
        <v>430</v>
      </c>
      <c r="B219">
        <v>0.35</v>
      </c>
      <c r="C219">
        <v>11</v>
      </c>
      <c r="D219">
        <v>218</v>
      </c>
      <c r="E219" s="11" t="str">
        <f>VLOOKUP(labors[[#This Row],[Column1.projectId]],projects[],2,FALSE)</f>
        <v>Pli-Dek</v>
      </c>
    </row>
    <row r="220" spans="1:5" x14ac:dyDescent="0.45">
      <c r="A220" t="s">
        <v>431</v>
      </c>
      <c r="B220">
        <v>0</v>
      </c>
      <c r="C220">
        <v>11</v>
      </c>
      <c r="D220">
        <v>219</v>
      </c>
      <c r="E220" s="11" t="str">
        <f>VLOOKUP(labors[[#This Row],[Column1.projectId]],projects[],2,FALSE)</f>
        <v>Pli-Dek</v>
      </c>
    </row>
    <row r="221" spans="1:5" x14ac:dyDescent="0.45">
      <c r="A221" t="s">
        <v>432</v>
      </c>
      <c r="B221">
        <v>-0.6</v>
      </c>
      <c r="C221">
        <v>11</v>
      </c>
      <c r="D221">
        <v>220</v>
      </c>
      <c r="E221" s="11" t="str">
        <f>VLOOKUP(labors[[#This Row],[Column1.projectId]],projects[],2,FALSE)</f>
        <v>Pli-Dek</v>
      </c>
    </row>
    <row r="222" spans="1:5" x14ac:dyDescent="0.45">
      <c r="A222" t="s">
        <v>433</v>
      </c>
      <c r="B222">
        <v>0.65</v>
      </c>
      <c r="C222">
        <v>11</v>
      </c>
      <c r="D222">
        <v>221</v>
      </c>
      <c r="E222" s="11" t="str">
        <f>VLOOKUP(labors[[#This Row],[Column1.projectId]],projects[],2,FALSE)</f>
        <v>Pli-Dek</v>
      </c>
    </row>
    <row r="223" spans="1:5" x14ac:dyDescent="0.45">
      <c r="A223" t="s">
        <v>434</v>
      </c>
      <c r="B223">
        <v>2.6249999999999999E-2</v>
      </c>
      <c r="C223">
        <v>11</v>
      </c>
      <c r="D223">
        <v>222</v>
      </c>
      <c r="E223" s="11" t="str">
        <f>VLOOKUP(labors[[#This Row],[Column1.projectId]],projects[],2,FALSE)</f>
        <v>Pli-Dek</v>
      </c>
    </row>
    <row r="224" spans="1:5" x14ac:dyDescent="0.45">
      <c r="A224" t="s">
        <v>435</v>
      </c>
      <c r="B224">
        <v>0.03</v>
      </c>
      <c r="C224">
        <v>11</v>
      </c>
      <c r="D224">
        <v>223</v>
      </c>
      <c r="E224" s="11" t="str">
        <f>VLOOKUP(labors[[#This Row],[Column1.projectId]],projects[],2,FALSE)</f>
        <v>Pli-Dek</v>
      </c>
    </row>
    <row r="225" spans="1:5" x14ac:dyDescent="0.45">
      <c r="A225" t="s">
        <v>436</v>
      </c>
      <c r="B225">
        <v>0.05</v>
      </c>
      <c r="C225">
        <v>11</v>
      </c>
      <c r="D225">
        <v>224</v>
      </c>
      <c r="E225" s="11" t="str">
        <f>VLOOKUP(labors[[#This Row],[Column1.projectId]],projects[],2,FALSE)</f>
        <v>Pli-Dek</v>
      </c>
    </row>
    <row r="226" spans="1:5" x14ac:dyDescent="0.45">
      <c r="A226" t="s">
        <v>437</v>
      </c>
      <c r="B226">
        <v>0</v>
      </c>
      <c r="C226">
        <v>11</v>
      </c>
      <c r="D226">
        <v>225</v>
      </c>
      <c r="E226" s="11" t="str">
        <f>VLOOKUP(labors[[#This Row],[Column1.projectId]],projects[],2,FALSE)</f>
        <v>Pli-Dek</v>
      </c>
    </row>
    <row r="227" spans="1:5" x14ac:dyDescent="0.45">
      <c r="A227" t="s">
        <v>438</v>
      </c>
      <c r="B227">
        <v>0</v>
      </c>
      <c r="C227">
        <v>11</v>
      </c>
      <c r="D227">
        <v>226</v>
      </c>
      <c r="E227" s="11" t="str">
        <f>VLOOKUP(labors[[#This Row],[Column1.projectId]],projects[],2,FALSE)</f>
        <v>Pli-Dek</v>
      </c>
    </row>
    <row r="228" spans="1:5" x14ac:dyDescent="0.45">
      <c r="A228" t="s">
        <v>439</v>
      </c>
      <c r="B228">
        <v>0</v>
      </c>
      <c r="C228">
        <v>11</v>
      </c>
      <c r="D228">
        <v>227</v>
      </c>
      <c r="E228" s="11" t="str">
        <f>VLOOKUP(labors[[#This Row],[Column1.projectId]],projects[],2,FALSE)</f>
        <v>Pli-Dek</v>
      </c>
    </row>
    <row r="229" spans="1:5" x14ac:dyDescent="0.45">
      <c r="A229" t="s">
        <v>440</v>
      </c>
      <c r="B229">
        <v>0.35</v>
      </c>
      <c r="C229">
        <v>11</v>
      </c>
      <c r="D229">
        <v>228</v>
      </c>
      <c r="E229" s="11" t="str">
        <f>VLOOKUP(labors[[#This Row],[Column1.projectId]],projects[],2,FALSE)</f>
        <v>Pli-Dek</v>
      </c>
    </row>
    <row r="230" spans="1:5" x14ac:dyDescent="0.45">
      <c r="A230" t="s">
        <v>441</v>
      </c>
      <c r="B230">
        <v>0.38</v>
      </c>
      <c r="C230">
        <v>11</v>
      </c>
      <c r="D230">
        <v>229</v>
      </c>
      <c r="E230" s="11" t="str">
        <f>VLOOKUP(labors[[#This Row],[Column1.projectId]],projects[],2,FALSE)</f>
        <v>Pli-Dek</v>
      </c>
    </row>
    <row r="231" spans="1:5" x14ac:dyDescent="0.45">
      <c r="A231" t="s">
        <v>442</v>
      </c>
      <c r="B231">
        <v>0.35</v>
      </c>
      <c r="C231">
        <v>11</v>
      </c>
      <c r="D231">
        <v>230</v>
      </c>
      <c r="E231" s="11" t="str">
        <f>VLOOKUP(labors[[#This Row],[Column1.projectId]],projects[],2,FALSE)</f>
        <v>Pli-Dek</v>
      </c>
    </row>
    <row r="232" spans="1:5" x14ac:dyDescent="0.45">
      <c r="A232" t="s">
        <v>443</v>
      </c>
      <c r="B232">
        <v>0.85</v>
      </c>
      <c r="C232">
        <v>11</v>
      </c>
      <c r="D232">
        <v>231</v>
      </c>
      <c r="E232" s="11" t="str">
        <f>VLOOKUP(labors[[#This Row],[Column1.projectId]],projects[],2,FALSE)</f>
        <v>Pli-Dek</v>
      </c>
    </row>
    <row r="233" spans="1:5" x14ac:dyDescent="0.45">
      <c r="A233" t="s">
        <v>423</v>
      </c>
      <c r="B233">
        <v>1.0015000000000001</v>
      </c>
      <c r="C233">
        <v>12</v>
      </c>
      <c r="D233">
        <v>232</v>
      </c>
      <c r="E233" s="11" t="str">
        <f>VLOOKUP(labors[[#This Row],[Column1.projectId]],projects[],2,FALSE)</f>
        <v>Pedestrian System</v>
      </c>
    </row>
    <row r="234" spans="1:5" x14ac:dyDescent="0.45">
      <c r="A234" t="s">
        <v>424</v>
      </c>
      <c r="B234">
        <v>-0.125</v>
      </c>
      <c r="C234">
        <v>12</v>
      </c>
      <c r="D234">
        <v>233</v>
      </c>
      <c r="E234" s="11" t="str">
        <f>VLOOKUP(labors[[#This Row],[Column1.projectId]],projects[],2,FALSE)</f>
        <v>Pedestrian System</v>
      </c>
    </row>
    <row r="235" spans="1:5" x14ac:dyDescent="0.45">
      <c r="A235" t="s">
        <v>425</v>
      </c>
      <c r="B235">
        <v>0.06</v>
      </c>
      <c r="C235">
        <v>12</v>
      </c>
      <c r="D235">
        <v>234</v>
      </c>
      <c r="E235" s="11" t="str">
        <f>VLOOKUP(labors[[#This Row],[Column1.projectId]],projects[],2,FALSE)</f>
        <v>Pedestrian System</v>
      </c>
    </row>
    <row r="236" spans="1:5" x14ac:dyDescent="0.45">
      <c r="A236" t="s">
        <v>426</v>
      </c>
      <c r="B236">
        <v>0.13</v>
      </c>
      <c r="C236">
        <v>12</v>
      </c>
      <c r="D236">
        <v>235</v>
      </c>
      <c r="E236" s="11" t="str">
        <f>VLOOKUP(labors[[#This Row],[Column1.projectId]],projects[],2,FALSE)</f>
        <v>Pedestrian System</v>
      </c>
    </row>
    <row r="237" spans="1:5" x14ac:dyDescent="0.45">
      <c r="A237" t="s">
        <v>427</v>
      </c>
      <c r="B237">
        <v>0.1</v>
      </c>
      <c r="C237">
        <v>12</v>
      </c>
      <c r="D237">
        <v>236</v>
      </c>
      <c r="E237" s="11" t="str">
        <f>VLOOKUP(labors[[#This Row],[Column1.projectId]],projects[],2,FALSE)</f>
        <v>Pedestrian System</v>
      </c>
    </row>
    <row r="238" spans="1:5" x14ac:dyDescent="0.45">
      <c r="A238" t="s">
        <v>428</v>
      </c>
      <c r="B238">
        <v>0.1515</v>
      </c>
      <c r="C238">
        <v>12</v>
      </c>
      <c r="D238">
        <v>237</v>
      </c>
      <c r="E238" s="11" t="str">
        <f>VLOOKUP(labors[[#This Row],[Column1.projectId]],projects[],2,FALSE)</f>
        <v>Pedestrian System</v>
      </c>
    </row>
    <row r="239" spans="1:5" x14ac:dyDescent="0.45">
      <c r="A239" t="s">
        <v>429</v>
      </c>
      <c r="B239">
        <v>0.08</v>
      </c>
      <c r="C239">
        <v>12</v>
      </c>
      <c r="D239">
        <v>238</v>
      </c>
      <c r="E239" s="11" t="str">
        <f>VLOOKUP(labors[[#This Row],[Column1.projectId]],projects[],2,FALSE)</f>
        <v>Pedestrian System</v>
      </c>
    </row>
    <row r="240" spans="1:5" x14ac:dyDescent="0.45">
      <c r="A240" t="s">
        <v>430</v>
      </c>
      <c r="B240">
        <v>0.35</v>
      </c>
      <c r="C240">
        <v>12</v>
      </c>
      <c r="D240">
        <v>239</v>
      </c>
      <c r="E240" s="11" t="str">
        <f>VLOOKUP(labors[[#This Row],[Column1.projectId]],projects[],2,FALSE)</f>
        <v>Pedestrian System</v>
      </c>
    </row>
    <row r="241" spans="1:5" x14ac:dyDescent="0.45">
      <c r="A241" t="s">
        <v>431</v>
      </c>
      <c r="B241">
        <v>0</v>
      </c>
      <c r="C241">
        <v>12</v>
      </c>
      <c r="D241">
        <v>240</v>
      </c>
      <c r="E241" s="11" t="str">
        <f>VLOOKUP(labors[[#This Row],[Column1.projectId]],projects[],2,FALSE)</f>
        <v>Pedestrian System</v>
      </c>
    </row>
    <row r="242" spans="1:5" x14ac:dyDescent="0.45">
      <c r="A242" t="s">
        <v>432</v>
      </c>
      <c r="B242">
        <v>-0.6</v>
      </c>
      <c r="C242">
        <v>12</v>
      </c>
      <c r="D242">
        <v>241</v>
      </c>
      <c r="E242" s="11" t="str">
        <f>VLOOKUP(labors[[#This Row],[Column1.projectId]],projects[],2,FALSE)</f>
        <v>Pedestrian System</v>
      </c>
    </row>
    <row r="243" spans="1:5" x14ac:dyDescent="0.45">
      <c r="A243" t="s">
        <v>433</v>
      </c>
      <c r="B243">
        <v>0.65</v>
      </c>
      <c r="C243">
        <v>12</v>
      </c>
      <c r="D243">
        <v>242</v>
      </c>
      <c r="E243" s="11" t="str">
        <f>VLOOKUP(labors[[#This Row],[Column1.projectId]],projects[],2,FALSE)</f>
        <v>Pedestrian System</v>
      </c>
    </row>
    <row r="244" spans="1:5" x14ac:dyDescent="0.45">
      <c r="A244" t="s">
        <v>434</v>
      </c>
      <c r="B244">
        <v>2.6249999999999999E-2</v>
      </c>
      <c r="C244">
        <v>12</v>
      </c>
      <c r="D244">
        <v>243</v>
      </c>
      <c r="E244" s="11" t="str">
        <f>VLOOKUP(labors[[#This Row],[Column1.projectId]],projects[],2,FALSE)</f>
        <v>Pedestrian System</v>
      </c>
    </row>
    <row r="245" spans="1:5" x14ac:dyDescent="0.45">
      <c r="A245" t="s">
        <v>435</v>
      </c>
      <c r="B245">
        <v>0.03</v>
      </c>
      <c r="C245">
        <v>12</v>
      </c>
      <c r="D245">
        <v>244</v>
      </c>
      <c r="E245" s="11" t="str">
        <f>VLOOKUP(labors[[#This Row],[Column1.projectId]],projects[],2,FALSE)</f>
        <v>Pedestrian System</v>
      </c>
    </row>
    <row r="246" spans="1:5" x14ac:dyDescent="0.45">
      <c r="A246" t="s">
        <v>436</v>
      </c>
      <c r="B246">
        <v>0.05</v>
      </c>
      <c r="C246">
        <v>12</v>
      </c>
      <c r="D246">
        <v>245</v>
      </c>
      <c r="E246" s="11" t="str">
        <f>VLOOKUP(labors[[#This Row],[Column1.projectId]],projects[],2,FALSE)</f>
        <v>Pedestrian System</v>
      </c>
    </row>
    <row r="247" spans="1:5" x14ac:dyDescent="0.45">
      <c r="A247" t="s">
        <v>437</v>
      </c>
      <c r="B247">
        <v>0</v>
      </c>
      <c r="C247">
        <v>12</v>
      </c>
      <c r="D247">
        <v>246</v>
      </c>
      <c r="E247" s="11" t="str">
        <f>VLOOKUP(labors[[#This Row],[Column1.projectId]],projects[],2,FALSE)</f>
        <v>Pedestrian System</v>
      </c>
    </row>
    <row r="248" spans="1:5" x14ac:dyDescent="0.45">
      <c r="A248" t="s">
        <v>438</v>
      </c>
      <c r="B248">
        <v>0</v>
      </c>
      <c r="C248">
        <v>12</v>
      </c>
      <c r="D248">
        <v>247</v>
      </c>
      <c r="E248" s="11" t="str">
        <f>VLOOKUP(labors[[#This Row],[Column1.projectId]],projects[],2,FALSE)</f>
        <v>Pedestrian System</v>
      </c>
    </row>
    <row r="249" spans="1:5" x14ac:dyDescent="0.45">
      <c r="A249" t="s">
        <v>439</v>
      </c>
      <c r="B249">
        <v>0</v>
      </c>
      <c r="C249">
        <v>12</v>
      </c>
      <c r="D249">
        <v>248</v>
      </c>
      <c r="E249" s="11" t="str">
        <f>VLOOKUP(labors[[#This Row],[Column1.projectId]],projects[],2,FALSE)</f>
        <v>Pedestrian System</v>
      </c>
    </row>
    <row r="250" spans="1:5" x14ac:dyDescent="0.45">
      <c r="A250" t="s">
        <v>440</v>
      </c>
      <c r="B250">
        <v>0.35</v>
      </c>
      <c r="C250">
        <v>12</v>
      </c>
      <c r="D250">
        <v>249</v>
      </c>
      <c r="E250" s="11" t="str">
        <f>VLOOKUP(labors[[#This Row],[Column1.projectId]],projects[],2,FALSE)</f>
        <v>Pedestrian System</v>
      </c>
    </row>
    <row r="251" spans="1:5" x14ac:dyDescent="0.45">
      <c r="A251" t="s">
        <v>441</v>
      </c>
      <c r="B251">
        <v>0.38</v>
      </c>
      <c r="C251">
        <v>12</v>
      </c>
      <c r="D251">
        <v>250</v>
      </c>
      <c r="E251" s="11" t="str">
        <f>VLOOKUP(labors[[#This Row],[Column1.projectId]],projects[],2,FALSE)</f>
        <v>Pedestrian System</v>
      </c>
    </row>
    <row r="252" spans="1:5" x14ac:dyDescent="0.45">
      <c r="A252" t="s">
        <v>442</v>
      </c>
      <c r="B252">
        <v>0.35</v>
      </c>
      <c r="C252">
        <v>12</v>
      </c>
      <c r="D252">
        <v>251</v>
      </c>
      <c r="E252" s="11" t="str">
        <f>VLOOKUP(labors[[#This Row],[Column1.projectId]],projects[],2,FALSE)</f>
        <v>Pedestrian System</v>
      </c>
    </row>
    <row r="253" spans="1:5" x14ac:dyDescent="0.45">
      <c r="A253" t="s">
        <v>443</v>
      </c>
      <c r="B253">
        <v>0.85</v>
      </c>
      <c r="C253">
        <v>12</v>
      </c>
      <c r="D253">
        <v>252</v>
      </c>
      <c r="E253" s="11" t="str">
        <f>VLOOKUP(labors[[#This Row],[Column1.projectId]],projects[],2,FALSE)</f>
        <v>Pedestrian System</v>
      </c>
    </row>
    <row r="254" spans="1:5" x14ac:dyDescent="0.45">
      <c r="A254" t="s">
        <v>423</v>
      </c>
      <c r="B254">
        <v>1.0015000000000001</v>
      </c>
      <c r="C254">
        <v>13</v>
      </c>
      <c r="D254">
        <v>253</v>
      </c>
      <c r="E254" s="11" t="str">
        <f>VLOOKUP(labors[[#This Row],[Column1.projectId]],projects[],2,FALSE)</f>
        <v>Parking Garage</v>
      </c>
    </row>
    <row r="255" spans="1:5" x14ac:dyDescent="0.45">
      <c r="A255" t="s">
        <v>424</v>
      </c>
      <c r="B255">
        <v>-0.125</v>
      </c>
      <c r="C255">
        <v>13</v>
      </c>
      <c r="D255">
        <v>254</v>
      </c>
      <c r="E255" s="11" t="str">
        <f>VLOOKUP(labors[[#This Row],[Column1.projectId]],projects[],2,FALSE)</f>
        <v>Parking Garage</v>
      </c>
    </row>
    <row r="256" spans="1:5" x14ac:dyDescent="0.45">
      <c r="A256" t="s">
        <v>425</v>
      </c>
      <c r="B256">
        <v>0.06</v>
      </c>
      <c r="C256">
        <v>13</v>
      </c>
      <c r="D256">
        <v>255</v>
      </c>
      <c r="E256" s="11" t="str">
        <f>VLOOKUP(labors[[#This Row],[Column1.projectId]],projects[],2,FALSE)</f>
        <v>Parking Garage</v>
      </c>
    </row>
    <row r="257" spans="1:5" x14ac:dyDescent="0.45">
      <c r="A257" t="s">
        <v>426</v>
      </c>
      <c r="B257">
        <v>0.13</v>
      </c>
      <c r="C257">
        <v>13</v>
      </c>
      <c r="D257">
        <v>256</v>
      </c>
      <c r="E257" s="11" t="str">
        <f>VLOOKUP(labors[[#This Row],[Column1.projectId]],projects[],2,FALSE)</f>
        <v>Parking Garage</v>
      </c>
    </row>
    <row r="258" spans="1:5" x14ac:dyDescent="0.45">
      <c r="A258" t="s">
        <v>427</v>
      </c>
      <c r="B258">
        <v>0.1</v>
      </c>
      <c r="C258">
        <v>13</v>
      </c>
      <c r="D258">
        <v>257</v>
      </c>
      <c r="E258" s="11" t="str">
        <f>VLOOKUP(labors[[#This Row],[Column1.projectId]],projects[],2,FALSE)</f>
        <v>Parking Garage</v>
      </c>
    </row>
    <row r="259" spans="1:5" x14ac:dyDescent="0.45">
      <c r="A259" t="s">
        <v>428</v>
      </c>
      <c r="B259">
        <v>0.1515</v>
      </c>
      <c r="C259">
        <v>13</v>
      </c>
      <c r="D259">
        <v>258</v>
      </c>
      <c r="E259" s="11" t="str">
        <f>VLOOKUP(labors[[#This Row],[Column1.projectId]],projects[],2,FALSE)</f>
        <v>Parking Garage</v>
      </c>
    </row>
    <row r="260" spans="1:5" x14ac:dyDescent="0.45">
      <c r="A260" t="s">
        <v>429</v>
      </c>
      <c r="B260">
        <v>0.08</v>
      </c>
      <c r="C260">
        <v>13</v>
      </c>
      <c r="D260">
        <v>259</v>
      </c>
      <c r="E260" s="11" t="str">
        <f>VLOOKUP(labors[[#This Row],[Column1.projectId]],projects[],2,FALSE)</f>
        <v>Parking Garage</v>
      </c>
    </row>
    <row r="261" spans="1:5" x14ac:dyDescent="0.45">
      <c r="A261" t="s">
        <v>430</v>
      </c>
      <c r="B261">
        <v>0.35</v>
      </c>
      <c r="C261">
        <v>13</v>
      </c>
      <c r="D261">
        <v>260</v>
      </c>
      <c r="E261" s="11" t="str">
        <f>VLOOKUP(labors[[#This Row],[Column1.projectId]],projects[],2,FALSE)</f>
        <v>Parking Garage</v>
      </c>
    </row>
    <row r="262" spans="1:5" x14ac:dyDescent="0.45">
      <c r="A262" t="s">
        <v>431</v>
      </c>
      <c r="B262">
        <v>0</v>
      </c>
      <c r="C262">
        <v>13</v>
      </c>
      <c r="D262">
        <v>261</v>
      </c>
      <c r="E262" s="11" t="str">
        <f>VLOOKUP(labors[[#This Row],[Column1.projectId]],projects[],2,FALSE)</f>
        <v>Parking Garage</v>
      </c>
    </row>
    <row r="263" spans="1:5" x14ac:dyDescent="0.45">
      <c r="A263" t="s">
        <v>432</v>
      </c>
      <c r="B263">
        <v>-0.6</v>
      </c>
      <c r="C263">
        <v>13</v>
      </c>
      <c r="D263">
        <v>262</v>
      </c>
      <c r="E263" s="11" t="str">
        <f>VLOOKUP(labors[[#This Row],[Column1.projectId]],projects[],2,FALSE)</f>
        <v>Parking Garage</v>
      </c>
    </row>
    <row r="264" spans="1:5" x14ac:dyDescent="0.45">
      <c r="A264" t="s">
        <v>433</v>
      </c>
      <c r="B264">
        <v>0.65</v>
      </c>
      <c r="C264">
        <v>13</v>
      </c>
      <c r="D264">
        <v>263</v>
      </c>
      <c r="E264" s="11" t="str">
        <f>VLOOKUP(labors[[#This Row],[Column1.projectId]],projects[],2,FALSE)</f>
        <v>Parking Garage</v>
      </c>
    </row>
    <row r="265" spans="1:5" x14ac:dyDescent="0.45">
      <c r="A265" t="s">
        <v>434</v>
      </c>
      <c r="B265">
        <v>2.6249999999999999E-2</v>
      </c>
      <c r="C265">
        <v>13</v>
      </c>
      <c r="D265">
        <v>264</v>
      </c>
      <c r="E265" s="11" t="str">
        <f>VLOOKUP(labors[[#This Row],[Column1.projectId]],projects[],2,FALSE)</f>
        <v>Parking Garage</v>
      </c>
    </row>
    <row r="266" spans="1:5" x14ac:dyDescent="0.45">
      <c r="A266" t="s">
        <v>435</v>
      </c>
      <c r="B266">
        <v>0.03</v>
      </c>
      <c r="C266">
        <v>13</v>
      </c>
      <c r="D266">
        <v>265</v>
      </c>
      <c r="E266" s="11" t="str">
        <f>VLOOKUP(labors[[#This Row],[Column1.projectId]],projects[],2,FALSE)</f>
        <v>Parking Garage</v>
      </c>
    </row>
    <row r="267" spans="1:5" x14ac:dyDescent="0.45">
      <c r="A267" t="s">
        <v>436</v>
      </c>
      <c r="B267">
        <v>0.05</v>
      </c>
      <c r="C267">
        <v>13</v>
      </c>
      <c r="D267">
        <v>266</v>
      </c>
      <c r="E267" s="11" t="str">
        <f>VLOOKUP(labors[[#This Row],[Column1.projectId]],projects[],2,FALSE)</f>
        <v>Parking Garage</v>
      </c>
    </row>
    <row r="268" spans="1:5" x14ac:dyDescent="0.45">
      <c r="A268" t="s">
        <v>437</v>
      </c>
      <c r="B268">
        <v>0</v>
      </c>
      <c r="C268">
        <v>13</v>
      </c>
      <c r="D268">
        <v>267</v>
      </c>
      <c r="E268" s="11" t="str">
        <f>VLOOKUP(labors[[#This Row],[Column1.projectId]],projects[],2,FALSE)</f>
        <v>Parking Garage</v>
      </c>
    </row>
    <row r="269" spans="1:5" x14ac:dyDescent="0.45">
      <c r="A269" t="s">
        <v>438</v>
      </c>
      <c r="B269">
        <v>0</v>
      </c>
      <c r="C269">
        <v>13</v>
      </c>
      <c r="D269">
        <v>268</v>
      </c>
      <c r="E269" s="11" t="str">
        <f>VLOOKUP(labors[[#This Row],[Column1.projectId]],projects[],2,FALSE)</f>
        <v>Parking Garage</v>
      </c>
    </row>
    <row r="270" spans="1:5" x14ac:dyDescent="0.45">
      <c r="A270" t="s">
        <v>439</v>
      </c>
      <c r="B270">
        <v>0</v>
      </c>
      <c r="C270">
        <v>13</v>
      </c>
      <c r="D270">
        <v>269</v>
      </c>
      <c r="E270" s="11" t="str">
        <f>VLOOKUP(labors[[#This Row],[Column1.projectId]],projects[],2,FALSE)</f>
        <v>Parking Garage</v>
      </c>
    </row>
    <row r="271" spans="1:5" x14ac:dyDescent="0.45">
      <c r="A271" t="s">
        <v>440</v>
      </c>
      <c r="B271">
        <v>0.35</v>
      </c>
      <c r="C271">
        <v>13</v>
      </c>
      <c r="D271">
        <v>270</v>
      </c>
      <c r="E271" s="11" t="str">
        <f>VLOOKUP(labors[[#This Row],[Column1.projectId]],projects[],2,FALSE)</f>
        <v>Parking Garage</v>
      </c>
    </row>
    <row r="272" spans="1:5" x14ac:dyDescent="0.45">
      <c r="A272" t="s">
        <v>441</v>
      </c>
      <c r="B272">
        <v>0.38</v>
      </c>
      <c r="C272">
        <v>13</v>
      </c>
      <c r="D272">
        <v>271</v>
      </c>
      <c r="E272" s="11" t="str">
        <f>VLOOKUP(labors[[#This Row],[Column1.projectId]],projects[],2,FALSE)</f>
        <v>Parking Garage</v>
      </c>
    </row>
    <row r="273" spans="1:5" x14ac:dyDescent="0.45">
      <c r="A273" t="s">
        <v>442</v>
      </c>
      <c r="B273">
        <v>0.35</v>
      </c>
      <c r="C273">
        <v>13</v>
      </c>
      <c r="D273">
        <v>272</v>
      </c>
      <c r="E273" s="11" t="str">
        <f>VLOOKUP(labors[[#This Row],[Column1.projectId]],projects[],2,FALSE)</f>
        <v>Parking Garage</v>
      </c>
    </row>
    <row r="274" spans="1:5" x14ac:dyDescent="0.45">
      <c r="A274" t="s">
        <v>443</v>
      </c>
      <c r="B274">
        <v>0.85</v>
      </c>
      <c r="C274">
        <v>13</v>
      </c>
      <c r="D274">
        <v>273</v>
      </c>
      <c r="E274" s="11" t="str">
        <f>VLOOKUP(labors[[#This Row],[Column1.projectId]],projects[],2,FALSE)</f>
        <v>Parking Garage</v>
      </c>
    </row>
    <row r="275" spans="1:5" x14ac:dyDescent="0.45">
      <c r="A275" t="s">
        <v>423</v>
      </c>
      <c r="B275">
        <v>1.0015000000000001</v>
      </c>
      <c r="C275">
        <v>14</v>
      </c>
      <c r="D275">
        <v>274</v>
      </c>
      <c r="E275" s="11" t="str">
        <f>VLOOKUP(labors[[#This Row],[Column1.projectId]],projects[],2,FALSE)</f>
        <v>Tufflex</v>
      </c>
    </row>
    <row r="276" spans="1:5" x14ac:dyDescent="0.45">
      <c r="A276" t="s">
        <v>424</v>
      </c>
      <c r="B276">
        <v>-0.125</v>
      </c>
      <c r="C276">
        <v>14</v>
      </c>
      <c r="D276">
        <v>275</v>
      </c>
      <c r="E276" s="11" t="str">
        <f>VLOOKUP(labors[[#This Row],[Column1.projectId]],projects[],2,FALSE)</f>
        <v>Tufflex</v>
      </c>
    </row>
    <row r="277" spans="1:5" x14ac:dyDescent="0.45">
      <c r="A277" t="s">
        <v>425</v>
      </c>
      <c r="B277">
        <v>0.06</v>
      </c>
      <c r="C277">
        <v>14</v>
      </c>
      <c r="D277">
        <v>276</v>
      </c>
      <c r="E277" s="11" t="str">
        <f>VLOOKUP(labors[[#This Row],[Column1.projectId]],projects[],2,FALSE)</f>
        <v>Tufflex</v>
      </c>
    </row>
    <row r="278" spans="1:5" x14ac:dyDescent="0.45">
      <c r="A278" t="s">
        <v>426</v>
      </c>
      <c r="B278">
        <v>0.13</v>
      </c>
      <c r="C278">
        <v>14</v>
      </c>
      <c r="D278">
        <v>277</v>
      </c>
      <c r="E278" s="11" t="str">
        <f>VLOOKUP(labors[[#This Row],[Column1.projectId]],projects[],2,FALSE)</f>
        <v>Tufflex</v>
      </c>
    </row>
    <row r="279" spans="1:5" x14ac:dyDescent="0.45">
      <c r="A279" t="s">
        <v>427</v>
      </c>
      <c r="B279">
        <v>0.1</v>
      </c>
      <c r="C279">
        <v>14</v>
      </c>
      <c r="D279">
        <v>278</v>
      </c>
      <c r="E279" s="11" t="str">
        <f>VLOOKUP(labors[[#This Row],[Column1.projectId]],projects[],2,FALSE)</f>
        <v>Tufflex</v>
      </c>
    </row>
    <row r="280" spans="1:5" x14ac:dyDescent="0.45">
      <c r="A280" t="s">
        <v>428</v>
      </c>
      <c r="B280">
        <v>0.1515</v>
      </c>
      <c r="C280">
        <v>14</v>
      </c>
      <c r="D280">
        <v>279</v>
      </c>
      <c r="E280" s="11" t="str">
        <f>VLOOKUP(labors[[#This Row],[Column1.projectId]],projects[],2,FALSE)</f>
        <v>Tufflex</v>
      </c>
    </row>
    <row r="281" spans="1:5" x14ac:dyDescent="0.45">
      <c r="A281" t="s">
        <v>429</v>
      </c>
      <c r="B281">
        <v>0.08</v>
      </c>
      <c r="C281">
        <v>14</v>
      </c>
      <c r="D281">
        <v>280</v>
      </c>
      <c r="E281" s="11" t="str">
        <f>VLOOKUP(labors[[#This Row],[Column1.projectId]],projects[],2,FALSE)</f>
        <v>Tufflex</v>
      </c>
    </row>
    <row r="282" spans="1:5" x14ac:dyDescent="0.45">
      <c r="A282" t="s">
        <v>430</v>
      </c>
      <c r="B282">
        <v>0.35</v>
      </c>
      <c r="C282">
        <v>14</v>
      </c>
      <c r="D282">
        <v>281</v>
      </c>
      <c r="E282" s="11" t="str">
        <f>VLOOKUP(labors[[#This Row],[Column1.projectId]],projects[],2,FALSE)</f>
        <v>Tufflex</v>
      </c>
    </row>
    <row r="283" spans="1:5" x14ac:dyDescent="0.45">
      <c r="A283" t="s">
        <v>431</v>
      </c>
      <c r="B283">
        <v>0</v>
      </c>
      <c r="C283">
        <v>14</v>
      </c>
      <c r="D283">
        <v>282</v>
      </c>
      <c r="E283" s="11" t="str">
        <f>VLOOKUP(labors[[#This Row],[Column1.projectId]],projects[],2,FALSE)</f>
        <v>Tufflex</v>
      </c>
    </row>
    <row r="284" spans="1:5" x14ac:dyDescent="0.45">
      <c r="A284" t="s">
        <v>432</v>
      </c>
      <c r="B284">
        <v>-0.6</v>
      </c>
      <c r="C284">
        <v>14</v>
      </c>
      <c r="D284">
        <v>283</v>
      </c>
      <c r="E284" s="11" t="str">
        <f>VLOOKUP(labors[[#This Row],[Column1.projectId]],projects[],2,FALSE)</f>
        <v>Tufflex</v>
      </c>
    </row>
    <row r="285" spans="1:5" x14ac:dyDescent="0.45">
      <c r="A285" t="s">
        <v>433</v>
      </c>
      <c r="B285">
        <v>0.65</v>
      </c>
      <c r="C285">
        <v>14</v>
      </c>
      <c r="D285">
        <v>284</v>
      </c>
      <c r="E285" s="11" t="str">
        <f>VLOOKUP(labors[[#This Row],[Column1.projectId]],projects[],2,FALSE)</f>
        <v>Tufflex</v>
      </c>
    </row>
    <row r="286" spans="1:5" x14ac:dyDescent="0.45">
      <c r="A286" t="s">
        <v>434</v>
      </c>
      <c r="B286">
        <v>2.6249999999999999E-2</v>
      </c>
      <c r="C286">
        <v>14</v>
      </c>
      <c r="D286">
        <v>285</v>
      </c>
      <c r="E286" s="11" t="str">
        <f>VLOOKUP(labors[[#This Row],[Column1.projectId]],projects[],2,FALSE)</f>
        <v>Tufflex</v>
      </c>
    </row>
    <row r="287" spans="1:5" x14ac:dyDescent="0.45">
      <c r="A287" t="s">
        <v>435</v>
      </c>
      <c r="B287">
        <v>0.03</v>
      </c>
      <c r="C287">
        <v>14</v>
      </c>
      <c r="D287">
        <v>286</v>
      </c>
      <c r="E287" s="11" t="str">
        <f>VLOOKUP(labors[[#This Row],[Column1.projectId]],projects[],2,FALSE)</f>
        <v>Tufflex</v>
      </c>
    </row>
    <row r="288" spans="1:5" x14ac:dyDescent="0.45">
      <c r="A288" t="s">
        <v>436</v>
      </c>
      <c r="B288">
        <v>0.05</v>
      </c>
      <c r="C288">
        <v>14</v>
      </c>
      <c r="D288">
        <v>287</v>
      </c>
      <c r="E288" s="11" t="str">
        <f>VLOOKUP(labors[[#This Row],[Column1.projectId]],projects[],2,FALSE)</f>
        <v>Tufflex</v>
      </c>
    </row>
    <row r="289" spans="1:5" x14ac:dyDescent="0.45">
      <c r="A289" t="s">
        <v>437</v>
      </c>
      <c r="B289">
        <v>0</v>
      </c>
      <c r="C289">
        <v>14</v>
      </c>
      <c r="D289">
        <v>288</v>
      </c>
      <c r="E289" s="11" t="str">
        <f>VLOOKUP(labors[[#This Row],[Column1.projectId]],projects[],2,FALSE)</f>
        <v>Tufflex</v>
      </c>
    </row>
    <row r="290" spans="1:5" x14ac:dyDescent="0.45">
      <c r="A290" t="s">
        <v>438</v>
      </c>
      <c r="B290">
        <v>0</v>
      </c>
      <c r="C290">
        <v>14</v>
      </c>
      <c r="D290">
        <v>289</v>
      </c>
      <c r="E290" s="11" t="str">
        <f>VLOOKUP(labors[[#This Row],[Column1.projectId]],projects[],2,FALSE)</f>
        <v>Tufflex</v>
      </c>
    </row>
    <row r="291" spans="1:5" x14ac:dyDescent="0.45">
      <c r="A291" t="s">
        <v>439</v>
      </c>
      <c r="B291">
        <v>0</v>
      </c>
      <c r="C291">
        <v>14</v>
      </c>
      <c r="D291">
        <v>290</v>
      </c>
      <c r="E291" s="11" t="str">
        <f>VLOOKUP(labors[[#This Row],[Column1.projectId]],projects[],2,FALSE)</f>
        <v>Tufflex</v>
      </c>
    </row>
    <row r="292" spans="1:5" x14ac:dyDescent="0.45">
      <c r="A292" t="s">
        <v>440</v>
      </c>
      <c r="B292">
        <v>0.35</v>
      </c>
      <c r="C292">
        <v>14</v>
      </c>
      <c r="D292">
        <v>291</v>
      </c>
      <c r="E292" s="11" t="str">
        <f>VLOOKUP(labors[[#This Row],[Column1.projectId]],projects[],2,FALSE)</f>
        <v>Tufflex</v>
      </c>
    </row>
    <row r="293" spans="1:5" x14ac:dyDescent="0.45">
      <c r="A293" t="s">
        <v>441</v>
      </c>
      <c r="B293">
        <v>0.38</v>
      </c>
      <c r="C293">
        <v>14</v>
      </c>
      <c r="D293">
        <v>292</v>
      </c>
      <c r="E293" s="11" t="str">
        <f>VLOOKUP(labors[[#This Row],[Column1.projectId]],projects[],2,FALSE)</f>
        <v>Tufflex</v>
      </c>
    </row>
    <row r="294" spans="1:5" x14ac:dyDescent="0.45">
      <c r="A294" t="s">
        <v>442</v>
      </c>
      <c r="B294">
        <v>0.35</v>
      </c>
      <c r="C294">
        <v>14</v>
      </c>
      <c r="D294">
        <v>293</v>
      </c>
      <c r="E294" s="11" t="str">
        <f>VLOOKUP(labors[[#This Row],[Column1.projectId]],projects[],2,FALSE)</f>
        <v>Tufflex</v>
      </c>
    </row>
    <row r="295" spans="1:5" x14ac:dyDescent="0.45">
      <c r="A295" t="s">
        <v>443</v>
      </c>
      <c r="B295">
        <v>0.85</v>
      </c>
      <c r="C295">
        <v>14</v>
      </c>
      <c r="D295">
        <v>294</v>
      </c>
      <c r="E295" s="11" t="str">
        <f>VLOOKUP(labors[[#This Row],[Column1.projectId]],projects[],2,FALSE)</f>
        <v>Tufflex</v>
      </c>
    </row>
    <row r="296" spans="1:5" x14ac:dyDescent="0.45">
      <c r="A296" t="s">
        <v>423</v>
      </c>
      <c r="B296">
        <v>1.0015000000000001</v>
      </c>
      <c r="C296">
        <v>15</v>
      </c>
      <c r="D296">
        <v>295</v>
      </c>
      <c r="E296" s="11" t="str">
        <f>VLOOKUP(labors[[#This Row],[Column1.projectId]],projects[],2,FALSE)</f>
        <v>Color Wash Reseal</v>
      </c>
    </row>
    <row r="297" spans="1:5" x14ac:dyDescent="0.45">
      <c r="A297" t="s">
        <v>424</v>
      </c>
      <c r="B297">
        <v>-0.125</v>
      </c>
      <c r="C297">
        <v>15</v>
      </c>
      <c r="D297">
        <v>296</v>
      </c>
      <c r="E297" s="11" t="str">
        <f>VLOOKUP(labors[[#This Row],[Column1.projectId]],projects[],2,FALSE)</f>
        <v>Color Wash Reseal</v>
      </c>
    </row>
    <row r="298" spans="1:5" x14ac:dyDescent="0.45">
      <c r="A298" t="s">
        <v>425</v>
      </c>
      <c r="B298">
        <v>0.06</v>
      </c>
      <c r="C298">
        <v>15</v>
      </c>
      <c r="D298">
        <v>297</v>
      </c>
      <c r="E298" s="11" t="str">
        <f>VLOOKUP(labors[[#This Row],[Column1.projectId]],projects[],2,FALSE)</f>
        <v>Color Wash Reseal</v>
      </c>
    </row>
    <row r="299" spans="1:5" x14ac:dyDescent="0.45">
      <c r="A299" t="s">
        <v>426</v>
      </c>
      <c r="B299">
        <v>0.13</v>
      </c>
      <c r="C299">
        <v>15</v>
      </c>
      <c r="D299">
        <v>298</v>
      </c>
      <c r="E299" s="11" t="str">
        <f>VLOOKUP(labors[[#This Row],[Column1.projectId]],projects[],2,FALSE)</f>
        <v>Color Wash Reseal</v>
      </c>
    </row>
    <row r="300" spans="1:5" x14ac:dyDescent="0.45">
      <c r="A300" t="s">
        <v>427</v>
      </c>
      <c r="B300">
        <v>0.1</v>
      </c>
      <c r="C300">
        <v>15</v>
      </c>
      <c r="D300">
        <v>299</v>
      </c>
      <c r="E300" s="11" t="str">
        <f>VLOOKUP(labors[[#This Row],[Column1.projectId]],projects[],2,FALSE)</f>
        <v>Color Wash Reseal</v>
      </c>
    </row>
    <row r="301" spans="1:5" x14ac:dyDescent="0.45">
      <c r="A301" t="s">
        <v>428</v>
      </c>
      <c r="B301">
        <v>0.1515</v>
      </c>
      <c r="C301">
        <v>15</v>
      </c>
      <c r="D301">
        <v>300</v>
      </c>
      <c r="E301" s="11" t="str">
        <f>VLOOKUP(labors[[#This Row],[Column1.projectId]],projects[],2,FALSE)</f>
        <v>Color Wash Reseal</v>
      </c>
    </row>
    <row r="302" spans="1:5" x14ac:dyDescent="0.45">
      <c r="A302" t="s">
        <v>429</v>
      </c>
      <c r="B302">
        <v>0.08</v>
      </c>
      <c r="C302">
        <v>15</v>
      </c>
      <c r="D302">
        <v>301</v>
      </c>
      <c r="E302" s="11" t="str">
        <f>VLOOKUP(labors[[#This Row],[Column1.projectId]],projects[],2,FALSE)</f>
        <v>Color Wash Reseal</v>
      </c>
    </row>
    <row r="303" spans="1:5" x14ac:dyDescent="0.45">
      <c r="A303" t="s">
        <v>430</v>
      </c>
      <c r="B303">
        <v>0.35</v>
      </c>
      <c r="C303">
        <v>15</v>
      </c>
      <c r="D303">
        <v>302</v>
      </c>
      <c r="E303" s="11" t="str">
        <f>VLOOKUP(labors[[#This Row],[Column1.projectId]],projects[],2,FALSE)</f>
        <v>Color Wash Reseal</v>
      </c>
    </row>
    <row r="304" spans="1:5" x14ac:dyDescent="0.45">
      <c r="A304" t="s">
        <v>431</v>
      </c>
      <c r="B304">
        <v>0</v>
      </c>
      <c r="C304">
        <v>15</v>
      </c>
      <c r="D304">
        <v>303</v>
      </c>
      <c r="E304" s="11" t="str">
        <f>VLOOKUP(labors[[#This Row],[Column1.projectId]],projects[],2,FALSE)</f>
        <v>Color Wash Reseal</v>
      </c>
    </row>
    <row r="305" spans="1:5" x14ac:dyDescent="0.45">
      <c r="A305" t="s">
        <v>432</v>
      </c>
      <c r="B305">
        <v>-0.6</v>
      </c>
      <c r="C305">
        <v>15</v>
      </c>
      <c r="D305">
        <v>304</v>
      </c>
      <c r="E305" s="11" t="str">
        <f>VLOOKUP(labors[[#This Row],[Column1.projectId]],projects[],2,FALSE)</f>
        <v>Color Wash Reseal</v>
      </c>
    </row>
    <row r="306" spans="1:5" x14ac:dyDescent="0.45">
      <c r="A306" t="s">
        <v>433</v>
      </c>
      <c r="B306">
        <v>0.65</v>
      </c>
      <c r="C306">
        <v>15</v>
      </c>
      <c r="D306">
        <v>305</v>
      </c>
      <c r="E306" s="11" t="str">
        <f>VLOOKUP(labors[[#This Row],[Column1.projectId]],projects[],2,FALSE)</f>
        <v>Color Wash Reseal</v>
      </c>
    </row>
    <row r="307" spans="1:5" x14ac:dyDescent="0.45">
      <c r="A307" t="s">
        <v>434</v>
      </c>
      <c r="B307">
        <v>2.6249999999999999E-2</v>
      </c>
      <c r="C307">
        <v>15</v>
      </c>
      <c r="D307">
        <v>306</v>
      </c>
      <c r="E307" s="11" t="str">
        <f>VLOOKUP(labors[[#This Row],[Column1.projectId]],projects[],2,FALSE)</f>
        <v>Color Wash Reseal</v>
      </c>
    </row>
    <row r="308" spans="1:5" x14ac:dyDescent="0.45">
      <c r="A308" t="s">
        <v>435</v>
      </c>
      <c r="B308">
        <v>0.03</v>
      </c>
      <c r="C308">
        <v>15</v>
      </c>
      <c r="D308">
        <v>307</v>
      </c>
      <c r="E308" s="11" t="str">
        <f>VLOOKUP(labors[[#This Row],[Column1.projectId]],projects[],2,FALSE)</f>
        <v>Color Wash Reseal</v>
      </c>
    </row>
    <row r="309" spans="1:5" x14ac:dyDescent="0.45">
      <c r="A309" t="s">
        <v>436</v>
      </c>
      <c r="B309">
        <v>0.05</v>
      </c>
      <c r="C309">
        <v>15</v>
      </c>
      <c r="D309">
        <v>308</v>
      </c>
      <c r="E309" s="11" t="str">
        <f>VLOOKUP(labors[[#This Row],[Column1.projectId]],projects[],2,FALSE)</f>
        <v>Color Wash Reseal</v>
      </c>
    </row>
    <row r="310" spans="1:5" x14ac:dyDescent="0.45">
      <c r="A310" t="s">
        <v>437</v>
      </c>
      <c r="B310">
        <v>0</v>
      </c>
      <c r="C310">
        <v>15</v>
      </c>
      <c r="D310">
        <v>309</v>
      </c>
      <c r="E310" s="11" t="str">
        <f>VLOOKUP(labors[[#This Row],[Column1.projectId]],projects[],2,FALSE)</f>
        <v>Color Wash Reseal</v>
      </c>
    </row>
    <row r="311" spans="1:5" x14ac:dyDescent="0.45">
      <c r="A311" t="s">
        <v>438</v>
      </c>
      <c r="B311">
        <v>0</v>
      </c>
      <c r="C311">
        <v>15</v>
      </c>
      <c r="D311">
        <v>310</v>
      </c>
      <c r="E311" s="11" t="str">
        <f>VLOOKUP(labors[[#This Row],[Column1.projectId]],projects[],2,FALSE)</f>
        <v>Color Wash Reseal</v>
      </c>
    </row>
    <row r="312" spans="1:5" x14ac:dyDescent="0.45">
      <c r="A312" t="s">
        <v>439</v>
      </c>
      <c r="B312">
        <v>0</v>
      </c>
      <c r="C312">
        <v>15</v>
      </c>
      <c r="D312">
        <v>311</v>
      </c>
      <c r="E312" s="11" t="str">
        <f>VLOOKUP(labors[[#This Row],[Column1.projectId]],projects[],2,FALSE)</f>
        <v>Color Wash Reseal</v>
      </c>
    </row>
    <row r="313" spans="1:5" x14ac:dyDescent="0.45">
      <c r="A313" t="s">
        <v>440</v>
      </c>
      <c r="B313">
        <v>0.35</v>
      </c>
      <c r="C313">
        <v>15</v>
      </c>
      <c r="D313">
        <v>312</v>
      </c>
      <c r="E313" s="11" t="str">
        <f>VLOOKUP(labors[[#This Row],[Column1.projectId]],projects[],2,FALSE)</f>
        <v>Color Wash Reseal</v>
      </c>
    </row>
    <row r="314" spans="1:5" x14ac:dyDescent="0.45">
      <c r="A314" t="s">
        <v>441</v>
      </c>
      <c r="B314">
        <v>0.5</v>
      </c>
      <c r="C314">
        <v>15</v>
      </c>
      <c r="D314">
        <v>313</v>
      </c>
      <c r="E314" s="11" t="str">
        <f>VLOOKUP(labors[[#This Row],[Column1.projectId]],projects[],2,FALSE)</f>
        <v>Color Wash Reseal</v>
      </c>
    </row>
    <row r="315" spans="1:5" x14ac:dyDescent="0.45">
      <c r="A315" t="s">
        <v>442</v>
      </c>
      <c r="B315">
        <v>0.35</v>
      </c>
      <c r="C315">
        <v>15</v>
      </c>
      <c r="D315">
        <v>314</v>
      </c>
      <c r="E315" s="11" t="str">
        <f>VLOOKUP(labors[[#This Row],[Column1.projectId]],projects[],2,FALSE)</f>
        <v>Color Wash Reseal</v>
      </c>
    </row>
    <row r="316" spans="1:5" x14ac:dyDescent="0.45">
      <c r="A316" t="s">
        <v>443</v>
      </c>
      <c r="B316">
        <v>0.85</v>
      </c>
      <c r="C316">
        <v>15</v>
      </c>
      <c r="D316">
        <v>315</v>
      </c>
      <c r="E316" s="11" t="str">
        <f>VLOOKUP(labors[[#This Row],[Column1.projectId]],projects[],2,FALSE)</f>
        <v>Color Wash Reseal</v>
      </c>
    </row>
    <row r="317" spans="1:5" x14ac:dyDescent="0.45">
      <c r="A317" t="s">
        <v>423</v>
      </c>
      <c r="B317">
        <v>1.0015000000000001</v>
      </c>
      <c r="C317">
        <v>16</v>
      </c>
      <c r="D317">
        <v>316</v>
      </c>
      <c r="E317" s="11" t="str">
        <f>VLOOKUP(labors[[#This Row],[Column1.projectId]],projects[],2,FALSE)</f>
        <v>ALX</v>
      </c>
    </row>
    <row r="318" spans="1:5" x14ac:dyDescent="0.45">
      <c r="A318" t="s">
        <v>424</v>
      </c>
      <c r="B318">
        <v>-0.125</v>
      </c>
      <c r="C318">
        <v>16</v>
      </c>
      <c r="D318">
        <v>317</v>
      </c>
      <c r="E318" s="11" t="str">
        <f>VLOOKUP(labors[[#This Row],[Column1.projectId]],projects[],2,FALSE)</f>
        <v>ALX</v>
      </c>
    </row>
    <row r="319" spans="1:5" x14ac:dyDescent="0.45">
      <c r="A319" t="s">
        <v>425</v>
      </c>
      <c r="B319">
        <v>0.06</v>
      </c>
      <c r="C319">
        <v>16</v>
      </c>
      <c r="D319">
        <v>318</v>
      </c>
      <c r="E319" s="11" t="str">
        <f>VLOOKUP(labors[[#This Row],[Column1.projectId]],projects[],2,FALSE)</f>
        <v>ALX</v>
      </c>
    </row>
    <row r="320" spans="1:5" x14ac:dyDescent="0.45">
      <c r="A320" t="s">
        <v>426</v>
      </c>
      <c r="B320">
        <v>0.13</v>
      </c>
      <c r="C320">
        <v>16</v>
      </c>
      <c r="D320">
        <v>319</v>
      </c>
      <c r="E320" s="11" t="str">
        <f>VLOOKUP(labors[[#This Row],[Column1.projectId]],projects[],2,FALSE)</f>
        <v>ALX</v>
      </c>
    </row>
    <row r="321" spans="1:5" x14ac:dyDescent="0.45">
      <c r="A321" t="s">
        <v>427</v>
      </c>
      <c r="B321">
        <v>0.1</v>
      </c>
      <c r="C321">
        <v>16</v>
      </c>
      <c r="D321">
        <v>320</v>
      </c>
      <c r="E321" s="11" t="str">
        <f>VLOOKUP(labors[[#This Row],[Column1.projectId]],projects[],2,FALSE)</f>
        <v>ALX</v>
      </c>
    </row>
    <row r="322" spans="1:5" x14ac:dyDescent="0.45">
      <c r="A322" t="s">
        <v>428</v>
      </c>
      <c r="B322">
        <v>0.1515</v>
      </c>
      <c r="C322">
        <v>16</v>
      </c>
      <c r="D322">
        <v>321</v>
      </c>
      <c r="E322" s="11" t="str">
        <f>VLOOKUP(labors[[#This Row],[Column1.projectId]],projects[],2,FALSE)</f>
        <v>ALX</v>
      </c>
    </row>
    <row r="323" spans="1:5" x14ac:dyDescent="0.45">
      <c r="A323" t="s">
        <v>429</v>
      </c>
      <c r="B323">
        <v>0.08</v>
      </c>
      <c r="C323">
        <v>16</v>
      </c>
      <c r="D323">
        <v>322</v>
      </c>
      <c r="E323" s="11" t="str">
        <f>VLOOKUP(labors[[#This Row],[Column1.projectId]],projects[],2,FALSE)</f>
        <v>ALX</v>
      </c>
    </row>
    <row r="324" spans="1:5" x14ac:dyDescent="0.45">
      <c r="A324" t="s">
        <v>430</v>
      </c>
      <c r="B324">
        <v>0.35</v>
      </c>
      <c r="C324">
        <v>16</v>
      </c>
      <c r="D324">
        <v>323</v>
      </c>
      <c r="E324" s="11" t="str">
        <f>VLOOKUP(labors[[#This Row],[Column1.projectId]],projects[],2,FALSE)</f>
        <v>ALX</v>
      </c>
    </row>
    <row r="325" spans="1:5" x14ac:dyDescent="0.45">
      <c r="A325" t="s">
        <v>431</v>
      </c>
      <c r="B325">
        <v>0</v>
      </c>
      <c r="C325">
        <v>16</v>
      </c>
      <c r="D325">
        <v>324</v>
      </c>
      <c r="E325" s="11" t="str">
        <f>VLOOKUP(labors[[#This Row],[Column1.projectId]],projects[],2,FALSE)</f>
        <v>ALX</v>
      </c>
    </row>
    <row r="326" spans="1:5" x14ac:dyDescent="0.45">
      <c r="A326" t="s">
        <v>432</v>
      </c>
      <c r="B326">
        <v>-0.6</v>
      </c>
      <c r="C326">
        <v>16</v>
      </c>
      <c r="D326">
        <v>325</v>
      </c>
      <c r="E326" s="11" t="str">
        <f>VLOOKUP(labors[[#This Row],[Column1.projectId]],projects[],2,FALSE)</f>
        <v>ALX</v>
      </c>
    </row>
    <row r="327" spans="1:5" x14ac:dyDescent="0.45">
      <c r="A327" t="s">
        <v>433</v>
      </c>
      <c r="B327">
        <v>0.65</v>
      </c>
      <c r="C327">
        <v>16</v>
      </c>
      <c r="D327">
        <v>326</v>
      </c>
      <c r="E327" s="11" t="str">
        <f>VLOOKUP(labors[[#This Row],[Column1.projectId]],projects[],2,FALSE)</f>
        <v>ALX</v>
      </c>
    </row>
    <row r="328" spans="1:5" x14ac:dyDescent="0.45">
      <c r="A328" t="s">
        <v>434</v>
      </c>
      <c r="B328">
        <v>2.6249999999999999E-2</v>
      </c>
      <c r="C328">
        <v>16</v>
      </c>
      <c r="D328">
        <v>327</v>
      </c>
      <c r="E328" s="11" t="str">
        <f>VLOOKUP(labors[[#This Row],[Column1.projectId]],projects[],2,FALSE)</f>
        <v>ALX</v>
      </c>
    </row>
    <row r="329" spans="1:5" x14ac:dyDescent="0.45">
      <c r="A329" t="s">
        <v>435</v>
      </c>
      <c r="B329">
        <v>0.03</v>
      </c>
      <c r="C329">
        <v>16</v>
      </c>
      <c r="D329">
        <v>328</v>
      </c>
      <c r="E329" s="11" t="str">
        <f>VLOOKUP(labors[[#This Row],[Column1.projectId]],projects[],2,FALSE)</f>
        <v>ALX</v>
      </c>
    </row>
    <row r="330" spans="1:5" x14ac:dyDescent="0.45">
      <c r="A330" t="s">
        <v>436</v>
      </c>
      <c r="B330">
        <v>0.05</v>
      </c>
      <c r="C330">
        <v>16</v>
      </c>
      <c r="D330">
        <v>329</v>
      </c>
      <c r="E330" s="11" t="str">
        <f>VLOOKUP(labors[[#This Row],[Column1.projectId]],projects[],2,FALSE)</f>
        <v>ALX</v>
      </c>
    </row>
    <row r="331" spans="1:5" x14ac:dyDescent="0.45">
      <c r="A331" t="s">
        <v>437</v>
      </c>
      <c r="B331">
        <v>0</v>
      </c>
      <c r="C331">
        <v>16</v>
      </c>
      <c r="D331">
        <v>330</v>
      </c>
      <c r="E331" s="11" t="str">
        <f>VLOOKUP(labors[[#This Row],[Column1.projectId]],projects[],2,FALSE)</f>
        <v>ALX</v>
      </c>
    </row>
    <row r="332" spans="1:5" x14ac:dyDescent="0.45">
      <c r="A332" t="s">
        <v>438</v>
      </c>
      <c r="B332">
        <v>0</v>
      </c>
      <c r="C332">
        <v>16</v>
      </c>
      <c r="D332">
        <v>331</v>
      </c>
      <c r="E332" s="11" t="str">
        <f>VLOOKUP(labors[[#This Row],[Column1.projectId]],projects[],2,FALSE)</f>
        <v>ALX</v>
      </c>
    </row>
    <row r="333" spans="1:5" x14ac:dyDescent="0.45">
      <c r="A333" t="s">
        <v>439</v>
      </c>
      <c r="B333">
        <v>0</v>
      </c>
      <c r="C333">
        <v>16</v>
      </c>
      <c r="D333">
        <v>332</v>
      </c>
      <c r="E333" s="11" t="str">
        <f>VLOOKUP(labors[[#This Row],[Column1.projectId]],projects[],2,FALSE)</f>
        <v>ALX</v>
      </c>
    </row>
    <row r="334" spans="1:5" x14ac:dyDescent="0.45">
      <c r="A334" t="s">
        <v>440</v>
      </c>
      <c r="B334">
        <v>0.35</v>
      </c>
      <c r="C334">
        <v>16</v>
      </c>
      <c r="D334">
        <v>333</v>
      </c>
      <c r="E334" s="11" t="str">
        <f>VLOOKUP(labors[[#This Row],[Column1.projectId]],projects[],2,FALSE)</f>
        <v>ALX</v>
      </c>
    </row>
    <row r="335" spans="1:5" x14ac:dyDescent="0.45">
      <c r="A335" t="s">
        <v>441</v>
      </c>
      <c r="B335">
        <v>0.38</v>
      </c>
      <c r="C335">
        <v>16</v>
      </c>
      <c r="D335">
        <v>334</v>
      </c>
      <c r="E335" s="11" t="str">
        <f>VLOOKUP(labors[[#This Row],[Column1.projectId]],projects[],2,FALSE)</f>
        <v>ALX</v>
      </c>
    </row>
    <row r="336" spans="1:5" x14ac:dyDescent="0.45">
      <c r="A336" t="s">
        <v>442</v>
      </c>
      <c r="B336">
        <v>0.35</v>
      </c>
      <c r="C336">
        <v>16</v>
      </c>
      <c r="D336">
        <v>335</v>
      </c>
      <c r="E336" s="11" t="str">
        <f>VLOOKUP(labors[[#This Row],[Column1.projectId]],projects[],2,FALSE)</f>
        <v>ALX</v>
      </c>
    </row>
    <row r="337" spans="1:5" x14ac:dyDescent="0.45">
      <c r="A337" t="s">
        <v>443</v>
      </c>
      <c r="B337">
        <v>0.85</v>
      </c>
      <c r="C337">
        <v>16</v>
      </c>
      <c r="D337">
        <v>336</v>
      </c>
      <c r="E337" s="11" t="str">
        <f>VLOOKUP(labors[[#This Row],[Column1.projectId]],projects[],2,FALSE)</f>
        <v>ALX</v>
      </c>
    </row>
    <row r="338" spans="1:5" x14ac:dyDescent="0.45">
      <c r="A338" t="s">
        <v>423</v>
      </c>
      <c r="B338">
        <v>1.0015000000000001</v>
      </c>
      <c r="C338">
        <v>17</v>
      </c>
      <c r="D338">
        <v>337</v>
      </c>
      <c r="E338" s="11" t="str">
        <f>VLOOKUP(labors[[#This Row],[Column1.projectId]],projects[],2,FALSE)</f>
        <v>MACoat</v>
      </c>
    </row>
    <row r="339" spans="1:5" x14ac:dyDescent="0.45">
      <c r="A339" t="s">
        <v>424</v>
      </c>
      <c r="B339">
        <v>-0.125</v>
      </c>
      <c r="C339">
        <v>17</v>
      </c>
      <c r="D339">
        <v>338</v>
      </c>
      <c r="E339" s="11" t="str">
        <f>VLOOKUP(labors[[#This Row],[Column1.projectId]],projects[],2,FALSE)</f>
        <v>MACoat</v>
      </c>
    </row>
    <row r="340" spans="1:5" x14ac:dyDescent="0.45">
      <c r="A340" t="s">
        <v>425</v>
      </c>
      <c r="B340">
        <v>0.06</v>
      </c>
      <c r="C340">
        <v>17</v>
      </c>
      <c r="D340">
        <v>339</v>
      </c>
      <c r="E340" s="11" t="str">
        <f>VLOOKUP(labors[[#This Row],[Column1.projectId]],projects[],2,FALSE)</f>
        <v>MACoat</v>
      </c>
    </row>
    <row r="341" spans="1:5" x14ac:dyDescent="0.45">
      <c r="A341" t="s">
        <v>426</v>
      </c>
      <c r="B341">
        <v>0.13</v>
      </c>
      <c r="C341">
        <v>17</v>
      </c>
      <c r="D341">
        <v>340</v>
      </c>
      <c r="E341" s="11" t="str">
        <f>VLOOKUP(labors[[#This Row],[Column1.projectId]],projects[],2,FALSE)</f>
        <v>MACoat</v>
      </c>
    </row>
    <row r="342" spans="1:5" x14ac:dyDescent="0.45">
      <c r="A342" t="s">
        <v>427</v>
      </c>
      <c r="B342">
        <v>0.1</v>
      </c>
      <c r="C342">
        <v>17</v>
      </c>
      <c r="D342">
        <v>341</v>
      </c>
      <c r="E342" s="11" t="str">
        <f>VLOOKUP(labors[[#This Row],[Column1.projectId]],projects[],2,FALSE)</f>
        <v>MACoat</v>
      </c>
    </row>
    <row r="343" spans="1:5" x14ac:dyDescent="0.45">
      <c r="A343" t="s">
        <v>428</v>
      </c>
      <c r="B343">
        <v>0.1515</v>
      </c>
      <c r="C343">
        <v>17</v>
      </c>
      <c r="D343">
        <v>342</v>
      </c>
      <c r="E343" s="11" t="str">
        <f>VLOOKUP(labors[[#This Row],[Column1.projectId]],projects[],2,FALSE)</f>
        <v>MACoat</v>
      </c>
    </row>
    <row r="344" spans="1:5" x14ac:dyDescent="0.45">
      <c r="A344" t="s">
        <v>429</v>
      </c>
      <c r="B344">
        <v>0.08</v>
      </c>
      <c r="C344">
        <v>17</v>
      </c>
      <c r="D344">
        <v>343</v>
      </c>
      <c r="E344" s="11" t="str">
        <f>VLOOKUP(labors[[#This Row],[Column1.projectId]],projects[],2,FALSE)</f>
        <v>MACoat</v>
      </c>
    </row>
    <row r="345" spans="1:5" x14ac:dyDescent="0.45">
      <c r="A345" t="s">
        <v>430</v>
      </c>
      <c r="B345">
        <v>0.35</v>
      </c>
      <c r="C345">
        <v>17</v>
      </c>
      <c r="D345">
        <v>344</v>
      </c>
      <c r="E345" s="11" t="str">
        <f>VLOOKUP(labors[[#This Row],[Column1.projectId]],projects[],2,FALSE)</f>
        <v>MACoat</v>
      </c>
    </row>
    <row r="346" spans="1:5" x14ac:dyDescent="0.45">
      <c r="A346" t="s">
        <v>431</v>
      </c>
      <c r="B346">
        <v>0</v>
      </c>
      <c r="C346">
        <v>17</v>
      </c>
      <c r="D346">
        <v>345</v>
      </c>
      <c r="E346" s="11" t="str">
        <f>VLOOKUP(labors[[#This Row],[Column1.projectId]],projects[],2,FALSE)</f>
        <v>MACoat</v>
      </c>
    </row>
    <row r="347" spans="1:5" x14ac:dyDescent="0.45">
      <c r="A347" t="s">
        <v>432</v>
      </c>
      <c r="B347">
        <v>-0.6</v>
      </c>
      <c r="C347">
        <v>17</v>
      </c>
      <c r="D347">
        <v>346</v>
      </c>
      <c r="E347" s="11" t="str">
        <f>VLOOKUP(labors[[#This Row],[Column1.projectId]],projects[],2,FALSE)</f>
        <v>MACoat</v>
      </c>
    </row>
    <row r="348" spans="1:5" x14ac:dyDescent="0.45">
      <c r="A348" t="s">
        <v>433</v>
      </c>
      <c r="B348">
        <v>0.65</v>
      </c>
      <c r="C348">
        <v>17</v>
      </c>
      <c r="D348">
        <v>347</v>
      </c>
      <c r="E348" s="11" t="str">
        <f>VLOOKUP(labors[[#This Row],[Column1.projectId]],projects[],2,FALSE)</f>
        <v>MACoat</v>
      </c>
    </row>
    <row r="349" spans="1:5" x14ac:dyDescent="0.45">
      <c r="A349" t="s">
        <v>434</v>
      </c>
      <c r="B349">
        <v>2.6249999999999999E-2</v>
      </c>
      <c r="C349">
        <v>17</v>
      </c>
      <c r="D349">
        <v>348</v>
      </c>
      <c r="E349" s="11" t="str">
        <f>VLOOKUP(labors[[#This Row],[Column1.projectId]],projects[],2,FALSE)</f>
        <v>MACoat</v>
      </c>
    </row>
    <row r="350" spans="1:5" x14ac:dyDescent="0.45">
      <c r="A350" t="s">
        <v>435</v>
      </c>
      <c r="B350">
        <v>0.03</v>
      </c>
      <c r="C350">
        <v>17</v>
      </c>
      <c r="D350">
        <v>349</v>
      </c>
      <c r="E350" s="11" t="str">
        <f>VLOOKUP(labors[[#This Row],[Column1.projectId]],projects[],2,FALSE)</f>
        <v>MACoat</v>
      </c>
    </row>
    <row r="351" spans="1:5" x14ac:dyDescent="0.45">
      <c r="A351" t="s">
        <v>436</v>
      </c>
      <c r="B351">
        <v>0.05</v>
      </c>
      <c r="C351">
        <v>17</v>
      </c>
      <c r="D351">
        <v>350</v>
      </c>
      <c r="E351" s="11" t="str">
        <f>VLOOKUP(labors[[#This Row],[Column1.projectId]],projects[],2,FALSE)</f>
        <v>MACoat</v>
      </c>
    </row>
    <row r="352" spans="1:5" x14ac:dyDescent="0.45">
      <c r="A352" t="s">
        <v>437</v>
      </c>
      <c r="B352">
        <v>0</v>
      </c>
      <c r="C352">
        <v>17</v>
      </c>
      <c r="D352">
        <v>351</v>
      </c>
      <c r="E352" s="11" t="str">
        <f>VLOOKUP(labors[[#This Row],[Column1.projectId]],projects[],2,FALSE)</f>
        <v>MACoat</v>
      </c>
    </row>
    <row r="353" spans="1:5" x14ac:dyDescent="0.45">
      <c r="A353" t="s">
        <v>438</v>
      </c>
      <c r="B353">
        <v>0</v>
      </c>
      <c r="C353">
        <v>17</v>
      </c>
      <c r="D353">
        <v>352</v>
      </c>
      <c r="E353" s="11" t="str">
        <f>VLOOKUP(labors[[#This Row],[Column1.projectId]],projects[],2,FALSE)</f>
        <v>MACoat</v>
      </c>
    </row>
    <row r="354" spans="1:5" x14ac:dyDescent="0.45">
      <c r="A354" t="s">
        <v>439</v>
      </c>
      <c r="B354">
        <v>0</v>
      </c>
      <c r="C354">
        <v>17</v>
      </c>
      <c r="D354">
        <v>353</v>
      </c>
      <c r="E354" s="11" t="str">
        <f>VLOOKUP(labors[[#This Row],[Column1.projectId]],projects[],2,FALSE)</f>
        <v>MACoat</v>
      </c>
    </row>
    <row r="355" spans="1:5" x14ac:dyDescent="0.45">
      <c r="A355" t="s">
        <v>440</v>
      </c>
      <c r="B355">
        <v>0.35</v>
      </c>
      <c r="C355">
        <v>17</v>
      </c>
      <c r="D355">
        <v>354</v>
      </c>
      <c r="E355" s="11" t="str">
        <f>VLOOKUP(labors[[#This Row],[Column1.projectId]],projects[],2,FALSE)</f>
        <v>MACoat</v>
      </c>
    </row>
    <row r="356" spans="1:5" x14ac:dyDescent="0.45">
      <c r="A356" t="s">
        <v>441</v>
      </c>
      <c r="B356">
        <v>0.38</v>
      </c>
      <c r="C356">
        <v>17</v>
      </c>
      <c r="D356">
        <v>355</v>
      </c>
      <c r="E356" s="11" t="str">
        <f>VLOOKUP(labors[[#This Row],[Column1.projectId]],projects[],2,FALSE)</f>
        <v>MACoat</v>
      </c>
    </row>
    <row r="357" spans="1:5" x14ac:dyDescent="0.45">
      <c r="A357" t="s">
        <v>442</v>
      </c>
      <c r="B357">
        <v>0.35</v>
      </c>
      <c r="C357">
        <v>17</v>
      </c>
      <c r="D357">
        <v>356</v>
      </c>
      <c r="E357" s="11" t="str">
        <f>VLOOKUP(labors[[#This Row],[Column1.projectId]],projects[],2,FALSE)</f>
        <v>MACoat</v>
      </c>
    </row>
    <row r="358" spans="1:5" x14ac:dyDescent="0.45">
      <c r="A358" t="s">
        <v>443</v>
      </c>
      <c r="B358">
        <v>0.85</v>
      </c>
      <c r="C358">
        <v>17</v>
      </c>
      <c r="D358">
        <v>357</v>
      </c>
      <c r="E358" s="11" t="str">
        <f>VLOOKUP(labors[[#This Row],[Column1.projectId]],projects[],2,FALSE)</f>
        <v>MACoat</v>
      </c>
    </row>
    <row r="359" spans="1:5" x14ac:dyDescent="0.45">
      <c r="A359" t="s">
        <v>423</v>
      </c>
      <c r="B359">
        <v>1.0015000000000001</v>
      </c>
      <c r="C359">
        <v>18</v>
      </c>
      <c r="D359">
        <v>358</v>
      </c>
      <c r="E359" s="11" t="str">
        <f>VLOOKUP(labors[[#This Row],[Column1.projectId]],projects[],2,FALSE)</f>
        <v>Reseal all systems</v>
      </c>
    </row>
    <row r="360" spans="1:5" x14ac:dyDescent="0.45">
      <c r="A360" t="s">
        <v>424</v>
      </c>
      <c r="B360">
        <v>-0.125</v>
      </c>
      <c r="C360">
        <v>18</v>
      </c>
      <c r="D360">
        <v>359</v>
      </c>
      <c r="E360" s="11" t="str">
        <f>VLOOKUP(labors[[#This Row],[Column1.projectId]],projects[],2,FALSE)</f>
        <v>Reseal all systems</v>
      </c>
    </row>
    <row r="361" spans="1:5" x14ac:dyDescent="0.45">
      <c r="A361" t="s">
        <v>425</v>
      </c>
      <c r="B361">
        <v>0.06</v>
      </c>
      <c r="C361">
        <v>18</v>
      </c>
      <c r="D361">
        <v>360</v>
      </c>
      <c r="E361" s="11" t="str">
        <f>VLOOKUP(labors[[#This Row],[Column1.projectId]],projects[],2,FALSE)</f>
        <v>Reseal all systems</v>
      </c>
    </row>
    <row r="362" spans="1:5" x14ac:dyDescent="0.45">
      <c r="A362" t="s">
        <v>426</v>
      </c>
      <c r="B362">
        <v>0.13</v>
      </c>
      <c r="C362">
        <v>18</v>
      </c>
      <c r="D362">
        <v>361</v>
      </c>
      <c r="E362" s="11" t="str">
        <f>VLOOKUP(labors[[#This Row],[Column1.projectId]],projects[],2,FALSE)</f>
        <v>Reseal all systems</v>
      </c>
    </row>
    <row r="363" spans="1:5" x14ac:dyDescent="0.45">
      <c r="A363" t="s">
        <v>427</v>
      </c>
      <c r="B363">
        <v>0.1</v>
      </c>
      <c r="C363">
        <v>18</v>
      </c>
      <c r="D363">
        <v>362</v>
      </c>
      <c r="E363" s="11" t="str">
        <f>VLOOKUP(labors[[#This Row],[Column1.projectId]],projects[],2,FALSE)</f>
        <v>Reseal all systems</v>
      </c>
    </row>
    <row r="364" spans="1:5" x14ac:dyDescent="0.45">
      <c r="A364" t="s">
        <v>428</v>
      </c>
      <c r="B364">
        <v>0.1515</v>
      </c>
      <c r="C364">
        <v>18</v>
      </c>
      <c r="D364">
        <v>363</v>
      </c>
      <c r="E364" s="11" t="str">
        <f>VLOOKUP(labors[[#This Row],[Column1.projectId]],projects[],2,FALSE)</f>
        <v>Reseal all systems</v>
      </c>
    </row>
    <row r="365" spans="1:5" x14ac:dyDescent="0.45">
      <c r="A365" t="s">
        <v>429</v>
      </c>
      <c r="B365">
        <v>0.08</v>
      </c>
      <c r="C365">
        <v>18</v>
      </c>
      <c r="D365">
        <v>364</v>
      </c>
      <c r="E365" s="11" t="str">
        <f>VLOOKUP(labors[[#This Row],[Column1.projectId]],projects[],2,FALSE)</f>
        <v>Reseal all systems</v>
      </c>
    </row>
    <row r="366" spans="1:5" x14ac:dyDescent="0.45">
      <c r="A366" t="s">
        <v>430</v>
      </c>
      <c r="B366">
        <v>0.35</v>
      </c>
      <c r="C366">
        <v>18</v>
      </c>
      <c r="D366">
        <v>365</v>
      </c>
      <c r="E366" s="11" t="str">
        <f>VLOOKUP(labors[[#This Row],[Column1.projectId]],projects[],2,FALSE)</f>
        <v>Reseal all systems</v>
      </c>
    </row>
    <row r="367" spans="1:5" x14ac:dyDescent="0.45">
      <c r="A367" t="s">
        <v>431</v>
      </c>
      <c r="B367">
        <v>0</v>
      </c>
      <c r="C367">
        <v>18</v>
      </c>
      <c r="D367">
        <v>366</v>
      </c>
      <c r="E367" s="11" t="str">
        <f>VLOOKUP(labors[[#This Row],[Column1.projectId]],projects[],2,FALSE)</f>
        <v>Reseal all systems</v>
      </c>
    </row>
    <row r="368" spans="1:5" x14ac:dyDescent="0.45">
      <c r="A368" t="s">
        <v>432</v>
      </c>
      <c r="B368">
        <v>-0.6</v>
      </c>
      <c r="C368">
        <v>18</v>
      </c>
      <c r="D368">
        <v>367</v>
      </c>
      <c r="E368" s="11" t="str">
        <f>VLOOKUP(labors[[#This Row],[Column1.projectId]],projects[],2,FALSE)</f>
        <v>Reseal all systems</v>
      </c>
    </row>
    <row r="369" spans="1:5" x14ac:dyDescent="0.45">
      <c r="A369" t="s">
        <v>433</v>
      </c>
      <c r="B369">
        <v>0.65</v>
      </c>
      <c r="C369">
        <v>18</v>
      </c>
      <c r="D369">
        <v>368</v>
      </c>
      <c r="E369" s="11" t="str">
        <f>VLOOKUP(labors[[#This Row],[Column1.projectId]],projects[],2,FALSE)</f>
        <v>Reseal all systems</v>
      </c>
    </row>
    <row r="370" spans="1:5" x14ac:dyDescent="0.45">
      <c r="A370" t="s">
        <v>434</v>
      </c>
      <c r="B370">
        <v>2.6249999999999999E-2</v>
      </c>
      <c r="C370">
        <v>18</v>
      </c>
      <c r="D370">
        <v>369</v>
      </c>
      <c r="E370" s="11" t="str">
        <f>VLOOKUP(labors[[#This Row],[Column1.projectId]],projects[],2,FALSE)</f>
        <v>Reseal all systems</v>
      </c>
    </row>
    <row r="371" spans="1:5" x14ac:dyDescent="0.45">
      <c r="A371" t="s">
        <v>435</v>
      </c>
      <c r="B371">
        <v>0.03</v>
      </c>
      <c r="C371">
        <v>18</v>
      </c>
      <c r="D371">
        <v>370</v>
      </c>
      <c r="E371" s="11" t="str">
        <f>VLOOKUP(labors[[#This Row],[Column1.projectId]],projects[],2,FALSE)</f>
        <v>Reseal all systems</v>
      </c>
    </row>
    <row r="372" spans="1:5" x14ac:dyDescent="0.45">
      <c r="A372" t="s">
        <v>436</v>
      </c>
      <c r="B372">
        <v>0.05</v>
      </c>
      <c r="C372">
        <v>18</v>
      </c>
      <c r="D372">
        <v>371</v>
      </c>
      <c r="E372" s="11" t="str">
        <f>VLOOKUP(labors[[#This Row],[Column1.projectId]],projects[],2,FALSE)</f>
        <v>Reseal all systems</v>
      </c>
    </row>
    <row r="373" spans="1:5" x14ac:dyDescent="0.45">
      <c r="A373" t="s">
        <v>437</v>
      </c>
      <c r="B373">
        <v>0</v>
      </c>
      <c r="C373">
        <v>18</v>
      </c>
      <c r="D373">
        <v>372</v>
      </c>
      <c r="E373" s="11" t="str">
        <f>VLOOKUP(labors[[#This Row],[Column1.projectId]],projects[],2,FALSE)</f>
        <v>Reseal all systems</v>
      </c>
    </row>
    <row r="374" spans="1:5" x14ac:dyDescent="0.45">
      <c r="A374" t="s">
        <v>438</v>
      </c>
      <c r="B374">
        <v>0</v>
      </c>
      <c r="C374">
        <v>18</v>
      </c>
      <c r="D374">
        <v>373</v>
      </c>
      <c r="E374" s="11" t="str">
        <f>VLOOKUP(labors[[#This Row],[Column1.projectId]],projects[],2,FALSE)</f>
        <v>Reseal all systems</v>
      </c>
    </row>
    <row r="375" spans="1:5" x14ac:dyDescent="0.45">
      <c r="A375" t="s">
        <v>439</v>
      </c>
      <c r="B375">
        <v>0</v>
      </c>
      <c r="C375">
        <v>18</v>
      </c>
      <c r="D375">
        <v>374</v>
      </c>
      <c r="E375" s="11" t="str">
        <f>VLOOKUP(labors[[#This Row],[Column1.projectId]],projects[],2,FALSE)</f>
        <v>Reseal all systems</v>
      </c>
    </row>
    <row r="376" spans="1:5" x14ac:dyDescent="0.45">
      <c r="A376" t="s">
        <v>440</v>
      </c>
      <c r="B376">
        <v>0.35</v>
      </c>
      <c r="C376">
        <v>18</v>
      </c>
      <c r="D376">
        <v>375</v>
      </c>
      <c r="E376" s="11" t="str">
        <f>VLOOKUP(labors[[#This Row],[Column1.projectId]],projects[],2,FALSE)</f>
        <v>Reseal all systems</v>
      </c>
    </row>
    <row r="377" spans="1:5" x14ac:dyDescent="0.45">
      <c r="A377" t="s">
        <v>441</v>
      </c>
      <c r="B377">
        <v>0.45</v>
      </c>
      <c r="C377">
        <v>18</v>
      </c>
      <c r="D377">
        <v>376</v>
      </c>
      <c r="E377" s="11" t="str">
        <f>VLOOKUP(labors[[#This Row],[Column1.projectId]],projects[],2,FALSE)</f>
        <v>Reseal all systems</v>
      </c>
    </row>
    <row r="378" spans="1:5" x14ac:dyDescent="0.45">
      <c r="A378" t="s">
        <v>442</v>
      </c>
      <c r="B378">
        <v>0.35</v>
      </c>
      <c r="C378">
        <v>18</v>
      </c>
      <c r="D378">
        <v>377</v>
      </c>
      <c r="E378" s="11" t="str">
        <f>VLOOKUP(labors[[#This Row],[Column1.projectId]],projects[],2,FALSE)</f>
        <v>Reseal all systems</v>
      </c>
    </row>
    <row r="379" spans="1:5" x14ac:dyDescent="0.45">
      <c r="A379" t="s">
        <v>443</v>
      </c>
      <c r="B379">
        <v>0.85</v>
      </c>
      <c r="C379">
        <v>18</v>
      </c>
      <c r="D379">
        <v>378</v>
      </c>
      <c r="E379" s="11" t="str">
        <f>VLOOKUP(labors[[#This Row],[Column1.projectId]],projects[],2,FALSE)</f>
        <v>Reseal all systems</v>
      </c>
    </row>
    <row r="380" spans="1:5" x14ac:dyDescent="0.45">
      <c r="A380" t="s">
        <v>423</v>
      </c>
      <c r="B380">
        <v>1.0015000000000001</v>
      </c>
      <c r="C380">
        <v>19</v>
      </c>
      <c r="D380">
        <v>379</v>
      </c>
      <c r="E380" s="11" t="str">
        <f>VLOOKUP(labors[[#This Row],[Column1.projectId]],projects[],2,FALSE)</f>
        <v>Resistite</v>
      </c>
    </row>
    <row r="381" spans="1:5" x14ac:dyDescent="0.45">
      <c r="A381" t="s">
        <v>424</v>
      </c>
      <c r="B381">
        <v>-0.125</v>
      </c>
      <c r="C381">
        <v>19</v>
      </c>
      <c r="D381">
        <v>380</v>
      </c>
      <c r="E381" s="11" t="str">
        <f>VLOOKUP(labors[[#This Row],[Column1.projectId]],projects[],2,FALSE)</f>
        <v>Resistite</v>
      </c>
    </row>
    <row r="382" spans="1:5" x14ac:dyDescent="0.45">
      <c r="A382" t="s">
        <v>425</v>
      </c>
      <c r="B382">
        <v>0.06</v>
      </c>
      <c r="C382">
        <v>19</v>
      </c>
      <c r="D382">
        <v>381</v>
      </c>
      <c r="E382" s="11" t="str">
        <f>VLOOKUP(labors[[#This Row],[Column1.projectId]],projects[],2,FALSE)</f>
        <v>Resistite</v>
      </c>
    </row>
    <row r="383" spans="1:5" x14ac:dyDescent="0.45">
      <c r="A383" t="s">
        <v>426</v>
      </c>
      <c r="B383">
        <v>0.13</v>
      </c>
      <c r="C383">
        <v>19</v>
      </c>
      <c r="D383">
        <v>382</v>
      </c>
      <c r="E383" s="11" t="str">
        <f>VLOOKUP(labors[[#This Row],[Column1.projectId]],projects[],2,FALSE)</f>
        <v>Resistite</v>
      </c>
    </row>
    <row r="384" spans="1:5" x14ac:dyDescent="0.45">
      <c r="A384" t="s">
        <v>427</v>
      </c>
      <c r="B384">
        <v>0.1</v>
      </c>
      <c r="C384">
        <v>19</v>
      </c>
      <c r="D384">
        <v>383</v>
      </c>
      <c r="E384" s="11" t="str">
        <f>VLOOKUP(labors[[#This Row],[Column1.projectId]],projects[],2,FALSE)</f>
        <v>Resistite</v>
      </c>
    </row>
    <row r="385" spans="1:5" x14ac:dyDescent="0.45">
      <c r="A385" t="s">
        <v>428</v>
      </c>
      <c r="B385">
        <v>0.1515</v>
      </c>
      <c r="C385">
        <v>19</v>
      </c>
      <c r="D385">
        <v>384</v>
      </c>
      <c r="E385" s="11" t="str">
        <f>VLOOKUP(labors[[#This Row],[Column1.projectId]],projects[],2,FALSE)</f>
        <v>Resistite</v>
      </c>
    </row>
    <row r="386" spans="1:5" x14ac:dyDescent="0.45">
      <c r="A386" t="s">
        <v>429</v>
      </c>
      <c r="B386">
        <v>0.08</v>
      </c>
      <c r="C386">
        <v>19</v>
      </c>
      <c r="D386">
        <v>385</v>
      </c>
      <c r="E386" s="11" t="str">
        <f>VLOOKUP(labors[[#This Row],[Column1.projectId]],projects[],2,FALSE)</f>
        <v>Resistite</v>
      </c>
    </row>
    <row r="387" spans="1:5" x14ac:dyDescent="0.45">
      <c r="A387" t="s">
        <v>430</v>
      </c>
      <c r="B387">
        <v>0.35</v>
      </c>
      <c r="C387">
        <v>19</v>
      </c>
      <c r="D387">
        <v>386</v>
      </c>
      <c r="E387" s="11" t="str">
        <f>VLOOKUP(labors[[#This Row],[Column1.projectId]],projects[],2,FALSE)</f>
        <v>Resistite</v>
      </c>
    </row>
    <row r="388" spans="1:5" x14ac:dyDescent="0.45">
      <c r="A388" t="s">
        <v>431</v>
      </c>
      <c r="B388">
        <v>0</v>
      </c>
      <c r="C388">
        <v>19</v>
      </c>
      <c r="D388">
        <v>387</v>
      </c>
      <c r="E388" s="11" t="str">
        <f>VLOOKUP(labors[[#This Row],[Column1.projectId]],projects[],2,FALSE)</f>
        <v>Resistite</v>
      </c>
    </row>
    <row r="389" spans="1:5" x14ac:dyDescent="0.45">
      <c r="A389" t="s">
        <v>432</v>
      </c>
      <c r="B389">
        <v>-0.6</v>
      </c>
      <c r="C389">
        <v>19</v>
      </c>
      <c r="D389">
        <v>388</v>
      </c>
      <c r="E389" s="11" t="str">
        <f>VLOOKUP(labors[[#This Row],[Column1.projectId]],projects[],2,FALSE)</f>
        <v>Resistite</v>
      </c>
    </row>
    <row r="390" spans="1:5" x14ac:dyDescent="0.45">
      <c r="A390" t="s">
        <v>433</v>
      </c>
      <c r="B390">
        <v>0.65</v>
      </c>
      <c r="C390">
        <v>19</v>
      </c>
      <c r="D390">
        <v>389</v>
      </c>
      <c r="E390" s="11" t="str">
        <f>VLOOKUP(labors[[#This Row],[Column1.projectId]],projects[],2,FALSE)</f>
        <v>Resistite</v>
      </c>
    </row>
    <row r="391" spans="1:5" x14ac:dyDescent="0.45">
      <c r="A391" t="s">
        <v>434</v>
      </c>
      <c r="B391">
        <v>2.6249999999999999E-2</v>
      </c>
      <c r="C391">
        <v>19</v>
      </c>
      <c r="D391">
        <v>390</v>
      </c>
      <c r="E391" s="11" t="str">
        <f>VLOOKUP(labors[[#This Row],[Column1.projectId]],projects[],2,FALSE)</f>
        <v>Resistite</v>
      </c>
    </row>
    <row r="392" spans="1:5" x14ac:dyDescent="0.45">
      <c r="A392" t="s">
        <v>435</v>
      </c>
      <c r="B392">
        <v>0.03</v>
      </c>
      <c r="C392">
        <v>19</v>
      </c>
      <c r="D392">
        <v>391</v>
      </c>
      <c r="E392" s="11" t="str">
        <f>VLOOKUP(labors[[#This Row],[Column1.projectId]],projects[],2,FALSE)</f>
        <v>Resistite</v>
      </c>
    </row>
    <row r="393" spans="1:5" x14ac:dyDescent="0.45">
      <c r="A393" t="s">
        <v>436</v>
      </c>
      <c r="B393">
        <v>0.05</v>
      </c>
      <c r="C393">
        <v>19</v>
      </c>
      <c r="D393">
        <v>392</v>
      </c>
      <c r="E393" s="11" t="str">
        <f>VLOOKUP(labors[[#This Row],[Column1.projectId]],projects[],2,FALSE)</f>
        <v>Resistite</v>
      </c>
    </row>
    <row r="394" spans="1:5" x14ac:dyDescent="0.45">
      <c r="A394" t="s">
        <v>437</v>
      </c>
      <c r="B394">
        <v>0</v>
      </c>
      <c r="C394">
        <v>19</v>
      </c>
      <c r="D394">
        <v>393</v>
      </c>
      <c r="E394" s="11" t="str">
        <f>VLOOKUP(labors[[#This Row],[Column1.projectId]],projects[],2,FALSE)</f>
        <v>Resistite</v>
      </c>
    </row>
    <row r="395" spans="1:5" x14ac:dyDescent="0.45">
      <c r="A395" t="s">
        <v>438</v>
      </c>
      <c r="B395">
        <v>0</v>
      </c>
      <c r="C395">
        <v>19</v>
      </c>
      <c r="D395">
        <v>394</v>
      </c>
      <c r="E395" s="11" t="str">
        <f>VLOOKUP(labors[[#This Row],[Column1.projectId]],projects[],2,FALSE)</f>
        <v>Resistite</v>
      </c>
    </row>
    <row r="396" spans="1:5" x14ac:dyDescent="0.45">
      <c r="A396" t="s">
        <v>439</v>
      </c>
      <c r="B396">
        <v>0</v>
      </c>
      <c r="C396">
        <v>19</v>
      </c>
      <c r="D396">
        <v>395</v>
      </c>
      <c r="E396" s="11" t="str">
        <f>VLOOKUP(labors[[#This Row],[Column1.projectId]],projects[],2,FALSE)</f>
        <v>Resistite</v>
      </c>
    </row>
    <row r="397" spans="1:5" x14ac:dyDescent="0.45">
      <c r="A397" t="s">
        <v>440</v>
      </c>
      <c r="B397">
        <v>0.35</v>
      </c>
      <c r="C397">
        <v>19</v>
      </c>
      <c r="D397">
        <v>396</v>
      </c>
      <c r="E397" s="11" t="str">
        <f>VLOOKUP(labors[[#This Row],[Column1.projectId]],projects[],2,FALSE)</f>
        <v>Resistite</v>
      </c>
    </row>
    <row r="398" spans="1:5" x14ac:dyDescent="0.45">
      <c r="A398" t="s">
        <v>441</v>
      </c>
      <c r="B398">
        <v>0.38</v>
      </c>
      <c r="C398">
        <v>19</v>
      </c>
      <c r="D398">
        <v>397</v>
      </c>
      <c r="E398" s="11" t="str">
        <f>VLOOKUP(labors[[#This Row],[Column1.projectId]],projects[],2,FALSE)</f>
        <v>Resistite</v>
      </c>
    </row>
    <row r="399" spans="1:5" x14ac:dyDescent="0.45">
      <c r="A399" t="s">
        <v>442</v>
      </c>
      <c r="B399">
        <v>0.35</v>
      </c>
      <c r="C399">
        <v>19</v>
      </c>
      <c r="D399">
        <v>398</v>
      </c>
      <c r="E399" s="11" t="str">
        <f>VLOOKUP(labors[[#This Row],[Column1.projectId]],projects[],2,FALSE)</f>
        <v>Resistite</v>
      </c>
    </row>
    <row r="400" spans="1:5" x14ac:dyDescent="0.45">
      <c r="A400" t="s">
        <v>443</v>
      </c>
      <c r="B400">
        <v>0.85</v>
      </c>
      <c r="C400">
        <v>19</v>
      </c>
      <c r="D400">
        <v>399</v>
      </c>
      <c r="E400" s="11" t="str">
        <f>VLOOKUP(labors[[#This Row],[Column1.projectId]],projects[],2,FALSE)</f>
        <v>Resistite</v>
      </c>
    </row>
    <row r="401" spans="1:5" x14ac:dyDescent="0.45">
      <c r="A401" t="s">
        <v>423</v>
      </c>
      <c r="B401">
        <v>1.0015000000000001</v>
      </c>
      <c r="C401">
        <v>20</v>
      </c>
      <c r="D401">
        <v>400</v>
      </c>
      <c r="E401" s="11" t="str">
        <f>VLOOKUP(labors[[#This Row],[Column1.projectId]],projects[],2,FALSE)</f>
        <v>Multicoat</v>
      </c>
    </row>
    <row r="402" spans="1:5" x14ac:dyDescent="0.45">
      <c r="A402" t="s">
        <v>424</v>
      </c>
      <c r="B402">
        <v>-0.125</v>
      </c>
      <c r="C402">
        <v>20</v>
      </c>
      <c r="D402">
        <v>401</v>
      </c>
      <c r="E402" s="11" t="str">
        <f>VLOOKUP(labors[[#This Row],[Column1.projectId]],projects[],2,FALSE)</f>
        <v>Multicoat</v>
      </c>
    </row>
    <row r="403" spans="1:5" x14ac:dyDescent="0.45">
      <c r="A403" t="s">
        <v>425</v>
      </c>
      <c r="B403">
        <v>0.06</v>
      </c>
      <c r="C403">
        <v>20</v>
      </c>
      <c r="D403">
        <v>402</v>
      </c>
      <c r="E403" s="11" t="str">
        <f>VLOOKUP(labors[[#This Row],[Column1.projectId]],projects[],2,FALSE)</f>
        <v>Multicoat</v>
      </c>
    </row>
    <row r="404" spans="1:5" x14ac:dyDescent="0.45">
      <c r="A404" t="s">
        <v>426</v>
      </c>
      <c r="B404">
        <v>0.13</v>
      </c>
      <c r="C404">
        <v>20</v>
      </c>
      <c r="D404">
        <v>403</v>
      </c>
      <c r="E404" s="11" t="str">
        <f>VLOOKUP(labors[[#This Row],[Column1.projectId]],projects[],2,FALSE)</f>
        <v>Multicoat</v>
      </c>
    </row>
    <row r="405" spans="1:5" x14ac:dyDescent="0.45">
      <c r="A405" t="s">
        <v>427</v>
      </c>
      <c r="B405">
        <v>0.1</v>
      </c>
      <c r="C405">
        <v>20</v>
      </c>
      <c r="D405">
        <v>404</v>
      </c>
      <c r="E405" s="11" t="str">
        <f>VLOOKUP(labors[[#This Row],[Column1.projectId]],projects[],2,FALSE)</f>
        <v>Multicoat</v>
      </c>
    </row>
    <row r="406" spans="1:5" x14ac:dyDescent="0.45">
      <c r="A406" t="s">
        <v>428</v>
      </c>
      <c r="B406">
        <v>0.1515</v>
      </c>
      <c r="C406">
        <v>20</v>
      </c>
      <c r="D406">
        <v>405</v>
      </c>
      <c r="E406" s="11" t="str">
        <f>VLOOKUP(labors[[#This Row],[Column1.projectId]],projects[],2,FALSE)</f>
        <v>Multicoat</v>
      </c>
    </row>
    <row r="407" spans="1:5" x14ac:dyDescent="0.45">
      <c r="A407" t="s">
        <v>429</v>
      </c>
      <c r="B407">
        <v>0.08</v>
      </c>
      <c r="C407">
        <v>20</v>
      </c>
      <c r="D407">
        <v>406</v>
      </c>
      <c r="E407" s="11" t="str">
        <f>VLOOKUP(labors[[#This Row],[Column1.projectId]],projects[],2,FALSE)</f>
        <v>Multicoat</v>
      </c>
    </row>
    <row r="408" spans="1:5" x14ac:dyDescent="0.45">
      <c r="A408" t="s">
        <v>430</v>
      </c>
      <c r="B408">
        <v>0.35</v>
      </c>
      <c r="C408">
        <v>20</v>
      </c>
      <c r="D408">
        <v>407</v>
      </c>
      <c r="E408" s="11" t="str">
        <f>VLOOKUP(labors[[#This Row],[Column1.projectId]],projects[],2,FALSE)</f>
        <v>Multicoat</v>
      </c>
    </row>
    <row r="409" spans="1:5" x14ac:dyDescent="0.45">
      <c r="A409" t="s">
        <v>431</v>
      </c>
      <c r="B409">
        <v>0</v>
      </c>
      <c r="C409">
        <v>20</v>
      </c>
      <c r="D409">
        <v>408</v>
      </c>
      <c r="E409" s="11" t="str">
        <f>VLOOKUP(labors[[#This Row],[Column1.projectId]],projects[],2,FALSE)</f>
        <v>Multicoat</v>
      </c>
    </row>
    <row r="410" spans="1:5" x14ac:dyDescent="0.45">
      <c r="A410" t="s">
        <v>432</v>
      </c>
      <c r="B410">
        <v>-0.6</v>
      </c>
      <c r="C410">
        <v>20</v>
      </c>
      <c r="D410">
        <v>409</v>
      </c>
      <c r="E410" s="11" t="str">
        <f>VLOOKUP(labors[[#This Row],[Column1.projectId]],projects[],2,FALSE)</f>
        <v>Multicoat</v>
      </c>
    </row>
    <row r="411" spans="1:5" x14ac:dyDescent="0.45">
      <c r="A411" t="s">
        <v>433</v>
      </c>
      <c r="B411">
        <v>0.65</v>
      </c>
      <c r="C411">
        <v>20</v>
      </c>
      <c r="D411">
        <v>410</v>
      </c>
      <c r="E411" s="11" t="str">
        <f>VLOOKUP(labors[[#This Row],[Column1.projectId]],projects[],2,FALSE)</f>
        <v>Multicoat</v>
      </c>
    </row>
    <row r="412" spans="1:5" x14ac:dyDescent="0.45">
      <c r="A412" t="s">
        <v>434</v>
      </c>
      <c r="B412">
        <v>2.6249999999999999E-2</v>
      </c>
      <c r="C412">
        <v>20</v>
      </c>
      <c r="D412">
        <v>411</v>
      </c>
      <c r="E412" s="11" t="str">
        <f>VLOOKUP(labors[[#This Row],[Column1.projectId]],projects[],2,FALSE)</f>
        <v>Multicoat</v>
      </c>
    </row>
    <row r="413" spans="1:5" x14ac:dyDescent="0.45">
      <c r="A413" t="s">
        <v>435</v>
      </c>
      <c r="B413">
        <v>0.03</v>
      </c>
      <c r="C413">
        <v>20</v>
      </c>
      <c r="D413">
        <v>412</v>
      </c>
      <c r="E413" s="11" t="str">
        <f>VLOOKUP(labors[[#This Row],[Column1.projectId]],projects[],2,FALSE)</f>
        <v>Multicoat</v>
      </c>
    </row>
    <row r="414" spans="1:5" x14ac:dyDescent="0.45">
      <c r="A414" t="s">
        <v>436</v>
      </c>
      <c r="B414">
        <v>0.05</v>
      </c>
      <c r="C414">
        <v>20</v>
      </c>
      <c r="D414">
        <v>413</v>
      </c>
      <c r="E414" s="11" t="str">
        <f>VLOOKUP(labors[[#This Row],[Column1.projectId]],projects[],2,FALSE)</f>
        <v>Multicoat</v>
      </c>
    </row>
    <row r="415" spans="1:5" x14ac:dyDescent="0.45">
      <c r="A415" t="s">
        <v>437</v>
      </c>
      <c r="B415">
        <v>0</v>
      </c>
      <c r="C415">
        <v>20</v>
      </c>
      <c r="D415">
        <v>414</v>
      </c>
      <c r="E415" s="11" t="str">
        <f>VLOOKUP(labors[[#This Row],[Column1.projectId]],projects[],2,FALSE)</f>
        <v>Multicoat</v>
      </c>
    </row>
    <row r="416" spans="1:5" x14ac:dyDescent="0.45">
      <c r="A416" t="s">
        <v>438</v>
      </c>
      <c r="B416">
        <v>0</v>
      </c>
      <c r="C416">
        <v>20</v>
      </c>
      <c r="D416">
        <v>415</v>
      </c>
      <c r="E416" s="11" t="str">
        <f>VLOOKUP(labors[[#This Row],[Column1.projectId]],projects[],2,FALSE)</f>
        <v>Multicoat</v>
      </c>
    </row>
    <row r="417" spans="1:5" x14ac:dyDescent="0.45">
      <c r="A417" t="s">
        <v>439</v>
      </c>
      <c r="B417">
        <v>0</v>
      </c>
      <c r="C417">
        <v>20</v>
      </c>
      <c r="D417">
        <v>416</v>
      </c>
      <c r="E417" s="11" t="str">
        <f>VLOOKUP(labors[[#This Row],[Column1.projectId]],projects[],2,FALSE)</f>
        <v>Multicoat</v>
      </c>
    </row>
    <row r="418" spans="1:5" x14ac:dyDescent="0.45">
      <c r="A418" t="s">
        <v>440</v>
      </c>
      <c r="B418">
        <v>0.35</v>
      </c>
      <c r="C418">
        <v>20</v>
      </c>
      <c r="D418">
        <v>417</v>
      </c>
      <c r="E418" s="11" t="str">
        <f>VLOOKUP(labors[[#This Row],[Column1.projectId]],projects[],2,FALSE)</f>
        <v>Multicoat</v>
      </c>
    </row>
    <row r="419" spans="1:5" x14ac:dyDescent="0.45">
      <c r="A419" t="s">
        <v>441</v>
      </c>
      <c r="B419">
        <v>0.41</v>
      </c>
      <c r="C419">
        <v>20</v>
      </c>
      <c r="D419">
        <v>418</v>
      </c>
      <c r="E419" s="11" t="str">
        <f>VLOOKUP(labors[[#This Row],[Column1.projectId]],projects[],2,FALSE)</f>
        <v>Multicoat</v>
      </c>
    </row>
    <row r="420" spans="1:5" x14ac:dyDescent="0.45">
      <c r="A420" t="s">
        <v>442</v>
      </c>
      <c r="B420">
        <v>0.35</v>
      </c>
      <c r="C420">
        <v>20</v>
      </c>
      <c r="D420">
        <v>419</v>
      </c>
      <c r="E420" s="11" t="str">
        <f>VLOOKUP(labors[[#This Row],[Column1.projectId]],projects[],2,FALSE)</f>
        <v>Multicoat</v>
      </c>
    </row>
    <row r="421" spans="1:5" x14ac:dyDescent="0.45">
      <c r="A421" t="s">
        <v>443</v>
      </c>
      <c r="B421">
        <v>0.85</v>
      </c>
      <c r="C421">
        <v>20</v>
      </c>
      <c r="D421">
        <v>420</v>
      </c>
      <c r="E421" s="11" t="str">
        <f>VLOOKUP(labors[[#This Row],[Column1.projectId]],projects[],2,FALSE)</f>
        <v>Multicoat</v>
      </c>
    </row>
    <row r="422" spans="1:5" x14ac:dyDescent="0.45">
      <c r="A422" t="s">
        <v>423</v>
      </c>
      <c r="B422">
        <v>1.0015000000000001</v>
      </c>
      <c r="C422">
        <v>21</v>
      </c>
      <c r="D422">
        <v>421</v>
      </c>
      <c r="E422" s="11" t="str">
        <f>VLOOKUP(labors[[#This Row],[Column1.projectId]],projects[],2,FALSE)</f>
        <v>Dexcellent II</v>
      </c>
    </row>
    <row r="423" spans="1:5" x14ac:dyDescent="0.45">
      <c r="A423" t="s">
        <v>424</v>
      </c>
      <c r="B423">
        <v>-0.125</v>
      </c>
      <c r="C423">
        <v>21</v>
      </c>
      <c r="D423">
        <v>422</v>
      </c>
      <c r="E423" s="11" t="str">
        <f>VLOOKUP(labors[[#This Row],[Column1.projectId]],projects[],2,FALSE)</f>
        <v>Dexcellent II</v>
      </c>
    </row>
    <row r="424" spans="1:5" x14ac:dyDescent="0.45">
      <c r="A424" t="s">
        <v>425</v>
      </c>
      <c r="B424">
        <v>0.06</v>
      </c>
      <c r="C424">
        <v>21</v>
      </c>
      <c r="D424">
        <v>423</v>
      </c>
      <c r="E424" s="11" t="str">
        <f>VLOOKUP(labors[[#This Row],[Column1.projectId]],projects[],2,FALSE)</f>
        <v>Dexcellent II</v>
      </c>
    </row>
    <row r="425" spans="1:5" x14ac:dyDescent="0.45">
      <c r="A425" t="s">
        <v>426</v>
      </c>
      <c r="B425">
        <v>0.13</v>
      </c>
      <c r="C425">
        <v>21</v>
      </c>
      <c r="D425">
        <v>424</v>
      </c>
      <c r="E425" s="11" t="str">
        <f>VLOOKUP(labors[[#This Row],[Column1.projectId]],projects[],2,FALSE)</f>
        <v>Dexcellent II</v>
      </c>
    </row>
    <row r="426" spans="1:5" x14ac:dyDescent="0.45">
      <c r="A426" t="s">
        <v>427</v>
      </c>
      <c r="B426">
        <v>0.1</v>
      </c>
      <c r="C426">
        <v>21</v>
      </c>
      <c r="D426">
        <v>425</v>
      </c>
      <c r="E426" s="11" t="str">
        <f>VLOOKUP(labors[[#This Row],[Column1.projectId]],projects[],2,FALSE)</f>
        <v>Dexcellent II</v>
      </c>
    </row>
    <row r="427" spans="1:5" x14ac:dyDescent="0.45">
      <c r="A427" t="s">
        <v>428</v>
      </c>
      <c r="B427">
        <v>0.1515</v>
      </c>
      <c r="C427">
        <v>21</v>
      </c>
      <c r="D427">
        <v>426</v>
      </c>
      <c r="E427" s="11" t="str">
        <f>VLOOKUP(labors[[#This Row],[Column1.projectId]],projects[],2,FALSE)</f>
        <v>Dexcellent II</v>
      </c>
    </row>
    <row r="428" spans="1:5" x14ac:dyDescent="0.45">
      <c r="A428" t="s">
        <v>429</v>
      </c>
      <c r="B428">
        <v>0.08</v>
      </c>
      <c r="C428">
        <v>21</v>
      </c>
      <c r="D428">
        <v>427</v>
      </c>
      <c r="E428" s="11" t="str">
        <f>VLOOKUP(labors[[#This Row],[Column1.projectId]],projects[],2,FALSE)</f>
        <v>Dexcellent II</v>
      </c>
    </row>
    <row r="429" spans="1:5" x14ac:dyDescent="0.45">
      <c r="A429" t="s">
        <v>430</v>
      </c>
      <c r="B429">
        <v>0.35</v>
      </c>
      <c r="C429">
        <v>21</v>
      </c>
      <c r="D429">
        <v>428</v>
      </c>
      <c r="E429" s="11" t="str">
        <f>VLOOKUP(labors[[#This Row],[Column1.projectId]],projects[],2,FALSE)</f>
        <v>Dexcellent II</v>
      </c>
    </row>
    <row r="430" spans="1:5" x14ac:dyDescent="0.45">
      <c r="A430" t="s">
        <v>431</v>
      </c>
      <c r="B430">
        <v>0</v>
      </c>
      <c r="C430">
        <v>21</v>
      </c>
      <c r="D430">
        <v>429</v>
      </c>
      <c r="E430" s="11" t="str">
        <f>VLOOKUP(labors[[#This Row],[Column1.projectId]],projects[],2,FALSE)</f>
        <v>Dexcellent II</v>
      </c>
    </row>
    <row r="431" spans="1:5" x14ac:dyDescent="0.45">
      <c r="A431" t="s">
        <v>432</v>
      </c>
      <c r="B431">
        <v>-0.6</v>
      </c>
      <c r="C431">
        <v>21</v>
      </c>
      <c r="D431">
        <v>430</v>
      </c>
      <c r="E431" s="11" t="str">
        <f>VLOOKUP(labors[[#This Row],[Column1.projectId]],projects[],2,FALSE)</f>
        <v>Dexcellent II</v>
      </c>
    </row>
    <row r="432" spans="1:5" x14ac:dyDescent="0.45">
      <c r="A432" t="s">
        <v>433</v>
      </c>
      <c r="B432">
        <v>0.65</v>
      </c>
      <c r="C432">
        <v>21</v>
      </c>
      <c r="D432">
        <v>431</v>
      </c>
      <c r="E432" s="11" t="str">
        <f>VLOOKUP(labors[[#This Row],[Column1.projectId]],projects[],2,FALSE)</f>
        <v>Dexcellent II</v>
      </c>
    </row>
    <row r="433" spans="1:5" x14ac:dyDescent="0.45">
      <c r="A433" t="s">
        <v>434</v>
      </c>
      <c r="B433">
        <v>2.6249999999999999E-2</v>
      </c>
      <c r="C433">
        <v>21</v>
      </c>
      <c r="D433">
        <v>432</v>
      </c>
      <c r="E433" s="11" t="str">
        <f>VLOOKUP(labors[[#This Row],[Column1.projectId]],projects[],2,FALSE)</f>
        <v>Dexcellent II</v>
      </c>
    </row>
    <row r="434" spans="1:5" x14ac:dyDescent="0.45">
      <c r="A434" t="s">
        <v>435</v>
      </c>
      <c r="B434">
        <v>0.03</v>
      </c>
      <c r="C434">
        <v>21</v>
      </c>
      <c r="D434">
        <v>433</v>
      </c>
      <c r="E434" s="11" t="str">
        <f>VLOOKUP(labors[[#This Row],[Column1.projectId]],projects[],2,FALSE)</f>
        <v>Dexcellent II</v>
      </c>
    </row>
    <row r="435" spans="1:5" x14ac:dyDescent="0.45">
      <c r="A435" t="s">
        <v>436</v>
      </c>
      <c r="B435">
        <v>0.05</v>
      </c>
      <c r="C435">
        <v>21</v>
      </c>
      <c r="D435">
        <v>434</v>
      </c>
      <c r="E435" s="11" t="str">
        <f>VLOOKUP(labors[[#This Row],[Column1.projectId]],projects[],2,FALSE)</f>
        <v>Dexcellent II</v>
      </c>
    </row>
    <row r="436" spans="1:5" x14ac:dyDescent="0.45">
      <c r="A436" t="s">
        <v>437</v>
      </c>
      <c r="B436">
        <v>0</v>
      </c>
      <c r="C436">
        <v>21</v>
      </c>
      <c r="D436">
        <v>435</v>
      </c>
      <c r="E436" s="11" t="str">
        <f>VLOOKUP(labors[[#This Row],[Column1.projectId]],projects[],2,FALSE)</f>
        <v>Dexcellent II</v>
      </c>
    </row>
    <row r="437" spans="1:5" x14ac:dyDescent="0.45">
      <c r="A437" t="s">
        <v>438</v>
      </c>
      <c r="B437">
        <v>0</v>
      </c>
      <c r="C437">
        <v>21</v>
      </c>
      <c r="D437">
        <v>436</v>
      </c>
      <c r="E437" s="11" t="str">
        <f>VLOOKUP(labors[[#This Row],[Column1.projectId]],projects[],2,FALSE)</f>
        <v>Dexcellent II</v>
      </c>
    </row>
    <row r="438" spans="1:5" x14ac:dyDescent="0.45">
      <c r="A438" t="s">
        <v>439</v>
      </c>
      <c r="B438">
        <v>0</v>
      </c>
      <c r="C438">
        <v>21</v>
      </c>
      <c r="D438">
        <v>437</v>
      </c>
      <c r="E438" s="11" t="str">
        <f>VLOOKUP(labors[[#This Row],[Column1.projectId]],projects[],2,FALSE)</f>
        <v>Dexcellent II</v>
      </c>
    </row>
    <row r="439" spans="1:5" x14ac:dyDescent="0.45">
      <c r="A439" t="s">
        <v>440</v>
      </c>
      <c r="B439">
        <v>0.35</v>
      </c>
      <c r="C439">
        <v>21</v>
      </c>
      <c r="D439">
        <v>438</v>
      </c>
      <c r="E439" s="11" t="str">
        <f>VLOOKUP(labors[[#This Row],[Column1.projectId]],projects[],2,FALSE)</f>
        <v>Dexcellent II</v>
      </c>
    </row>
    <row r="440" spans="1:5" x14ac:dyDescent="0.45">
      <c r="A440" t="s">
        <v>441</v>
      </c>
      <c r="B440">
        <v>0.38</v>
      </c>
      <c r="C440">
        <v>21</v>
      </c>
      <c r="D440">
        <v>439</v>
      </c>
      <c r="E440" s="11" t="str">
        <f>VLOOKUP(labors[[#This Row],[Column1.projectId]],projects[],2,FALSE)</f>
        <v>Dexcellent II</v>
      </c>
    </row>
    <row r="441" spans="1:5" x14ac:dyDescent="0.45">
      <c r="A441" t="s">
        <v>442</v>
      </c>
      <c r="B441">
        <v>0.35</v>
      </c>
      <c r="C441">
        <v>21</v>
      </c>
      <c r="D441">
        <v>440</v>
      </c>
      <c r="E441" s="11" t="str">
        <f>VLOOKUP(labors[[#This Row],[Column1.projectId]],projects[],2,FALSE)</f>
        <v>Dexcellent II</v>
      </c>
    </row>
    <row r="442" spans="1:5" x14ac:dyDescent="0.45">
      <c r="A442" t="s">
        <v>443</v>
      </c>
      <c r="B442">
        <v>0.85</v>
      </c>
      <c r="C442">
        <v>21</v>
      </c>
      <c r="D442">
        <v>441</v>
      </c>
      <c r="E442" s="11" t="str">
        <f>VLOOKUP(labors[[#This Row],[Column1.projectId]],projects[],2,FALSE)</f>
        <v>Dexcellent II</v>
      </c>
    </row>
    <row r="443" spans="1:5" x14ac:dyDescent="0.45">
      <c r="A443" t="s">
        <v>423</v>
      </c>
      <c r="B443">
        <v>1.0015000000000001</v>
      </c>
      <c r="C443">
        <v>22</v>
      </c>
      <c r="D443">
        <v>442</v>
      </c>
      <c r="E443" s="11" t="str">
        <f>VLOOKUP(labors[[#This Row],[Column1.projectId]],projects[],2,FALSE)</f>
        <v>Westcoat BT</v>
      </c>
    </row>
    <row r="444" spans="1:5" x14ac:dyDescent="0.45">
      <c r="A444" t="s">
        <v>424</v>
      </c>
      <c r="B444">
        <v>-0.125</v>
      </c>
      <c r="C444">
        <v>22</v>
      </c>
      <c r="D444">
        <v>443</v>
      </c>
      <c r="E444" s="11" t="str">
        <f>VLOOKUP(labors[[#This Row],[Column1.projectId]],projects[],2,FALSE)</f>
        <v>Westcoat BT</v>
      </c>
    </row>
    <row r="445" spans="1:5" x14ac:dyDescent="0.45">
      <c r="A445" t="s">
        <v>425</v>
      </c>
      <c r="B445">
        <v>0.06</v>
      </c>
      <c r="C445">
        <v>22</v>
      </c>
      <c r="D445">
        <v>444</v>
      </c>
      <c r="E445" s="11" t="str">
        <f>VLOOKUP(labors[[#This Row],[Column1.projectId]],projects[],2,FALSE)</f>
        <v>Westcoat BT</v>
      </c>
    </row>
    <row r="446" spans="1:5" x14ac:dyDescent="0.45">
      <c r="A446" t="s">
        <v>426</v>
      </c>
      <c r="B446">
        <v>0.13</v>
      </c>
      <c r="C446">
        <v>22</v>
      </c>
      <c r="D446">
        <v>445</v>
      </c>
      <c r="E446" s="11" t="str">
        <f>VLOOKUP(labors[[#This Row],[Column1.projectId]],projects[],2,FALSE)</f>
        <v>Westcoat BT</v>
      </c>
    </row>
    <row r="447" spans="1:5" x14ac:dyDescent="0.45">
      <c r="A447" t="s">
        <v>427</v>
      </c>
      <c r="B447">
        <v>0.1</v>
      </c>
      <c r="C447">
        <v>22</v>
      </c>
      <c r="D447">
        <v>446</v>
      </c>
      <c r="E447" s="11" t="str">
        <f>VLOOKUP(labors[[#This Row],[Column1.projectId]],projects[],2,FALSE)</f>
        <v>Westcoat BT</v>
      </c>
    </row>
    <row r="448" spans="1:5" x14ac:dyDescent="0.45">
      <c r="A448" t="s">
        <v>428</v>
      </c>
      <c r="B448">
        <v>0.1515</v>
      </c>
      <c r="C448">
        <v>22</v>
      </c>
      <c r="D448">
        <v>447</v>
      </c>
      <c r="E448" s="11" t="str">
        <f>VLOOKUP(labors[[#This Row],[Column1.projectId]],projects[],2,FALSE)</f>
        <v>Westcoat BT</v>
      </c>
    </row>
    <row r="449" spans="1:5" x14ac:dyDescent="0.45">
      <c r="A449" t="s">
        <v>429</v>
      </c>
      <c r="B449">
        <v>0.08</v>
      </c>
      <c r="C449">
        <v>22</v>
      </c>
      <c r="D449">
        <v>448</v>
      </c>
      <c r="E449" s="11" t="str">
        <f>VLOOKUP(labors[[#This Row],[Column1.projectId]],projects[],2,FALSE)</f>
        <v>Westcoat BT</v>
      </c>
    </row>
    <row r="450" spans="1:5" x14ac:dyDescent="0.45">
      <c r="A450" t="s">
        <v>430</v>
      </c>
      <c r="B450">
        <v>0.35</v>
      </c>
      <c r="C450">
        <v>22</v>
      </c>
      <c r="D450">
        <v>449</v>
      </c>
      <c r="E450" s="11" t="str">
        <f>VLOOKUP(labors[[#This Row],[Column1.projectId]],projects[],2,FALSE)</f>
        <v>Westcoat BT</v>
      </c>
    </row>
    <row r="451" spans="1:5" x14ac:dyDescent="0.45">
      <c r="A451" t="s">
        <v>431</v>
      </c>
      <c r="B451">
        <v>0</v>
      </c>
      <c r="C451">
        <v>22</v>
      </c>
      <c r="D451">
        <v>450</v>
      </c>
      <c r="E451" s="11" t="str">
        <f>VLOOKUP(labors[[#This Row],[Column1.projectId]],projects[],2,FALSE)</f>
        <v>Westcoat BT</v>
      </c>
    </row>
    <row r="452" spans="1:5" x14ac:dyDescent="0.45">
      <c r="A452" t="s">
        <v>432</v>
      </c>
      <c r="B452">
        <v>-0.6</v>
      </c>
      <c r="C452">
        <v>22</v>
      </c>
      <c r="D452">
        <v>451</v>
      </c>
      <c r="E452" s="11" t="str">
        <f>VLOOKUP(labors[[#This Row],[Column1.projectId]],projects[],2,FALSE)</f>
        <v>Westcoat BT</v>
      </c>
    </row>
    <row r="453" spans="1:5" x14ac:dyDescent="0.45">
      <c r="A453" t="s">
        <v>433</v>
      </c>
      <c r="B453">
        <v>0.65</v>
      </c>
      <c r="C453">
        <v>22</v>
      </c>
      <c r="D453">
        <v>452</v>
      </c>
      <c r="E453" s="11" t="str">
        <f>VLOOKUP(labors[[#This Row],[Column1.projectId]],projects[],2,FALSE)</f>
        <v>Westcoat BT</v>
      </c>
    </row>
    <row r="454" spans="1:5" x14ac:dyDescent="0.45">
      <c r="A454" t="s">
        <v>434</v>
      </c>
      <c r="B454">
        <v>2.6249999999999999E-2</v>
      </c>
      <c r="C454">
        <v>22</v>
      </c>
      <c r="D454">
        <v>453</v>
      </c>
      <c r="E454" s="11" t="str">
        <f>VLOOKUP(labors[[#This Row],[Column1.projectId]],projects[],2,FALSE)</f>
        <v>Westcoat BT</v>
      </c>
    </row>
    <row r="455" spans="1:5" x14ac:dyDescent="0.45">
      <c r="A455" t="s">
        <v>435</v>
      </c>
      <c r="B455">
        <v>0.03</v>
      </c>
      <c r="C455">
        <v>22</v>
      </c>
      <c r="D455">
        <v>454</v>
      </c>
      <c r="E455" s="11" t="str">
        <f>VLOOKUP(labors[[#This Row],[Column1.projectId]],projects[],2,FALSE)</f>
        <v>Westcoat BT</v>
      </c>
    </row>
    <row r="456" spans="1:5" x14ac:dyDescent="0.45">
      <c r="A456" t="s">
        <v>436</v>
      </c>
      <c r="B456">
        <v>0.05</v>
      </c>
      <c r="C456">
        <v>22</v>
      </c>
      <c r="D456">
        <v>455</v>
      </c>
      <c r="E456" s="11" t="str">
        <f>VLOOKUP(labors[[#This Row],[Column1.projectId]],projects[],2,FALSE)</f>
        <v>Westcoat BT</v>
      </c>
    </row>
    <row r="457" spans="1:5" x14ac:dyDescent="0.45">
      <c r="A457" t="s">
        <v>437</v>
      </c>
      <c r="B457">
        <v>0</v>
      </c>
      <c r="C457">
        <v>22</v>
      </c>
      <c r="D457">
        <v>456</v>
      </c>
      <c r="E457" s="11" t="str">
        <f>VLOOKUP(labors[[#This Row],[Column1.projectId]],projects[],2,FALSE)</f>
        <v>Westcoat BT</v>
      </c>
    </row>
    <row r="458" spans="1:5" x14ac:dyDescent="0.45">
      <c r="A458" t="s">
        <v>438</v>
      </c>
      <c r="B458">
        <v>0</v>
      </c>
      <c r="C458">
        <v>22</v>
      </c>
      <c r="D458">
        <v>457</v>
      </c>
      <c r="E458" s="11" t="str">
        <f>VLOOKUP(labors[[#This Row],[Column1.projectId]],projects[],2,FALSE)</f>
        <v>Westcoat BT</v>
      </c>
    </row>
    <row r="459" spans="1:5" x14ac:dyDescent="0.45">
      <c r="A459" t="s">
        <v>439</v>
      </c>
      <c r="B459">
        <v>0</v>
      </c>
      <c r="C459">
        <v>22</v>
      </c>
      <c r="D459">
        <v>458</v>
      </c>
      <c r="E459" s="11" t="str">
        <f>VLOOKUP(labors[[#This Row],[Column1.projectId]],projects[],2,FALSE)</f>
        <v>Westcoat BT</v>
      </c>
    </row>
    <row r="460" spans="1:5" x14ac:dyDescent="0.45">
      <c r="A460" t="s">
        <v>440</v>
      </c>
      <c r="B460">
        <v>0.35</v>
      </c>
      <c r="C460">
        <v>22</v>
      </c>
      <c r="D460">
        <v>459</v>
      </c>
      <c r="E460" s="11" t="str">
        <f>VLOOKUP(labors[[#This Row],[Column1.projectId]],projects[],2,FALSE)</f>
        <v>Westcoat BT</v>
      </c>
    </row>
    <row r="461" spans="1:5" x14ac:dyDescent="0.45">
      <c r="A461" t="s">
        <v>441</v>
      </c>
      <c r="B461">
        <v>0.38</v>
      </c>
      <c r="C461">
        <v>22</v>
      </c>
      <c r="D461">
        <v>460</v>
      </c>
      <c r="E461" s="11" t="str">
        <f>VLOOKUP(labors[[#This Row],[Column1.projectId]],projects[],2,FALSE)</f>
        <v>Westcoat BT</v>
      </c>
    </row>
    <row r="462" spans="1:5" x14ac:dyDescent="0.45">
      <c r="A462" t="s">
        <v>442</v>
      </c>
      <c r="B462">
        <v>0.35</v>
      </c>
      <c r="C462">
        <v>22</v>
      </c>
      <c r="D462">
        <v>461</v>
      </c>
      <c r="E462" s="11" t="str">
        <f>VLOOKUP(labors[[#This Row],[Column1.projectId]],projects[],2,FALSE)</f>
        <v>Westcoat BT</v>
      </c>
    </row>
    <row r="463" spans="1:5" x14ac:dyDescent="0.45">
      <c r="A463" t="s">
        <v>443</v>
      </c>
      <c r="B463">
        <v>0.85</v>
      </c>
      <c r="C463">
        <v>22</v>
      </c>
      <c r="D463">
        <v>462</v>
      </c>
      <c r="E463" s="11" t="str">
        <f>VLOOKUP(labors[[#This Row],[Column1.projectId]],projects[],2,FALSE)</f>
        <v>Westcoat BT</v>
      </c>
    </row>
    <row r="464" spans="1:5" x14ac:dyDescent="0.45">
      <c r="A464" t="s">
        <v>423</v>
      </c>
      <c r="B464">
        <v>1.0015000000000001</v>
      </c>
      <c r="C464">
        <v>23</v>
      </c>
      <c r="D464">
        <v>463</v>
      </c>
      <c r="E464" s="11" t="str">
        <f>VLOOKUP(labors[[#This Row],[Column1.projectId]],projects[],2,FALSE)</f>
        <v>UPI BT</v>
      </c>
    </row>
    <row r="465" spans="1:5" x14ac:dyDescent="0.45">
      <c r="A465" t="s">
        <v>424</v>
      </c>
      <c r="B465">
        <v>-0.125</v>
      </c>
      <c r="C465">
        <v>23</v>
      </c>
      <c r="D465">
        <v>464</v>
      </c>
      <c r="E465" s="11" t="str">
        <f>VLOOKUP(labors[[#This Row],[Column1.projectId]],projects[],2,FALSE)</f>
        <v>UPI BT</v>
      </c>
    </row>
    <row r="466" spans="1:5" x14ac:dyDescent="0.45">
      <c r="A466" t="s">
        <v>425</v>
      </c>
      <c r="B466">
        <v>0.06</v>
      </c>
      <c r="C466">
        <v>23</v>
      </c>
      <c r="D466">
        <v>465</v>
      </c>
      <c r="E466" s="11" t="str">
        <f>VLOOKUP(labors[[#This Row],[Column1.projectId]],projects[],2,FALSE)</f>
        <v>UPI BT</v>
      </c>
    </row>
    <row r="467" spans="1:5" x14ac:dyDescent="0.45">
      <c r="A467" t="s">
        <v>426</v>
      </c>
      <c r="B467">
        <v>0.13</v>
      </c>
      <c r="C467">
        <v>23</v>
      </c>
      <c r="D467">
        <v>466</v>
      </c>
      <c r="E467" s="11" t="str">
        <f>VLOOKUP(labors[[#This Row],[Column1.projectId]],projects[],2,FALSE)</f>
        <v>UPI BT</v>
      </c>
    </row>
    <row r="468" spans="1:5" x14ac:dyDescent="0.45">
      <c r="A468" t="s">
        <v>427</v>
      </c>
      <c r="B468">
        <v>0.1</v>
      </c>
      <c r="C468">
        <v>23</v>
      </c>
      <c r="D468">
        <v>467</v>
      </c>
      <c r="E468" s="11" t="str">
        <f>VLOOKUP(labors[[#This Row],[Column1.projectId]],projects[],2,FALSE)</f>
        <v>UPI BT</v>
      </c>
    </row>
    <row r="469" spans="1:5" x14ac:dyDescent="0.45">
      <c r="A469" t="s">
        <v>428</v>
      </c>
      <c r="B469">
        <v>0.1515</v>
      </c>
      <c r="C469">
        <v>23</v>
      </c>
      <c r="D469">
        <v>468</v>
      </c>
      <c r="E469" s="11" t="str">
        <f>VLOOKUP(labors[[#This Row],[Column1.projectId]],projects[],2,FALSE)</f>
        <v>UPI BT</v>
      </c>
    </row>
    <row r="470" spans="1:5" x14ac:dyDescent="0.45">
      <c r="A470" t="s">
        <v>429</v>
      </c>
      <c r="B470">
        <v>0.08</v>
      </c>
      <c r="C470">
        <v>23</v>
      </c>
      <c r="D470">
        <v>469</v>
      </c>
      <c r="E470" s="11" t="str">
        <f>VLOOKUP(labors[[#This Row],[Column1.projectId]],projects[],2,FALSE)</f>
        <v>UPI BT</v>
      </c>
    </row>
    <row r="471" spans="1:5" x14ac:dyDescent="0.45">
      <c r="A471" t="s">
        <v>430</v>
      </c>
      <c r="B471">
        <v>0.35</v>
      </c>
      <c r="C471">
        <v>23</v>
      </c>
      <c r="D471">
        <v>470</v>
      </c>
      <c r="E471" s="11" t="str">
        <f>VLOOKUP(labors[[#This Row],[Column1.projectId]],projects[],2,FALSE)</f>
        <v>UPI BT</v>
      </c>
    </row>
    <row r="472" spans="1:5" x14ac:dyDescent="0.45">
      <c r="A472" t="s">
        <v>431</v>
      </c>
      <c r="B472">
        <v>0</v>
      </c>
      <c r="C472">
        <v>23</v>
      </c>
      <c r="D472">
        <v>471</v>
      </c>
      <c r="E472" s="11" t="str">
        <f>VLOOKUP(labors[[#This Row],[Column1.projectId]],projects[],2,FALSE)</f>
        <v>UPI BT</v>
      </c>
    </row>
    <row r="473" spans="1:5" x14ac:dyDescent="0.45">
      <c r="A473" t="s">
        <v>432</v>
      </c>
      <c r="B473">
        <v>-0.6</v>
      </c>
      <c r="C473">
        <v>23</v>
      </c>
      <c r="D473">
        <v>472</v>
      </c>
      <c r="E473" s="11" t="str">
        <f>VLOOKUP(labors[[#This Row],[Column1.projectId]],projects[],2,FALSE)</f>
        <v>UPI BT</v>
      </c>
    </row>
    <row r="474" spans="1:5" x14ac:dyDescent="0.45">
      <c r="A474" t="s">
        <v>433</v>
      </c>
      <c r="B474">
        <v>0.65</v>
      </c>
      <c r="C474">
        <v>23</v>
      </c>
      <c r="D474">
        <v>473</v>
      </c>
      <c r="E474" s="11" t="str">
        <f>VLOOKUP(labors[[#This Row],[Column1.projectId]],projects[],2,FALSE)</f>
        <v>UPI BT</v>
      </c>
    </row>
    <row r="475" spans="1:5" x14ac:dyDescent="0.45">
      <c r="A475" t="s">
        <v>434</v>
      </c>
      <c r="B475">
        <v>2.6249999999999999E-2</v>
      </c>
      <c r="C475">
        <v>23</v>
      </c>
      <c r="D475">
        <v>474</v>
      </c>
      <c r="E475" s="11" t="str">
        <f>VLOOKUP(labors[[#This Row],[Column1.projectId]],projects[],2,FALSE)</f>
        <v>UPI BT</v>
      </c>
    </row>
    <row r="476" spans="1:5" x14ac:dyDescent="0.45">
      <c r="A476" t="s">
        <v>435</v>
      </c>
      <c r="B476">
        <v>0.03</v>
      </c>
      <c r="C476">
        <v>23</v>
      </c>
      <c r="D476">
        <v>475</v>
      </c>
      <c r="E476" s="11" t="str">
        <f>VLOOKUP(labors[[#This Row],[Column1.projectId]],projects[],2,FALSE)</f>
        <v>UPI BT</v>
      </c>
    </row>
    <row r="477" spans="1:5" x14ac:dyDescent="0.45">
      <c r="A477" t="s">
        <v>436</v>
      </c>
      <c r="B477">
        <v>0.05</v>
      </c>
      <c r="C477">
        <v>23</v>
      </c>
      <c r="D477">
        <v>476</v>
      </c>
      <c r="E477" s="11" t="str">
        <f>VLOOKUP(labors[[#This Row],[Column1.projectId]],projects[],2,FALSE)</f>
        <v>UPI BT</v>
      </c>
    </row>
    <row r="478" spans="1:5" x14ac:dyDescent="0.45">
      <c r="A478" t="s">
        <v>437</v>
      </c>
      <c r="B478">
        <v>0</v>
      </c>
      <c r="C478">
        <v>23</v>
      </c>
      <c r="D478">
        <v>477</v>
      </c>
      <c r="E478" s="11" t="str">
        <f>VLOOKUP(labors[[#This Row],[Column1.projectId]],projects[],2,FALSE)</f>
        <v>UPI BT</v>
      </c>
    </row>
    <row r="479" spans="1:5" x14ac:dyDescent="0.45">
      <c r="A479" t="s">
        <v>438</v>
      </c>
      <c r="B479">
        <v>0</v>
      </c>
      <c r="C479">
        <v>23</v>
      </c>
      <c r="D479">
        <v>478</v>
      </c>
      <c r="E479" s="11" t="str">
        <f>VLOOKUP(labors[[#This Row],[Column1.projectId]],projects[],2,FALSE)</f>
        <v>UPI BT</v>
      </c>
    </row>
    <row r="480" spans="1:5" x14ac:dyDescent="0.45">
      <c r="A480" t="s">
        <v>439</v>
      </c>
      <c r="B480">
        <v>0</v>
      </c>
      <c r="C480">
        <v>23</v>
      </c>
      <c r="D480">
        <v>479</v>
      </c>
      <c r="E480" s="11" t="str">
        <f>VLOOKUP(labors[[#This Row],[Column1.projectId]],projects[],2,FALSE)</f>
        <v>UPI BT</v>
      </c>
    </row>
    <row r="481" spans="1:5" x14ac:dyDescent="0.45">
      <c r="A481" t="s">
        <v>440</v>
      </c>
      <c r="B481">
        <v>0.35</v>
      </c>
      <c r="C481">
        <v>23</v>
      </c>
      <c r="D481">
        <v>480</v>
      </c>
      <c r="E481" s="11" t="str">
        <f>VLOOKUP(labors[[#This Row],[Column1.projectId]],projects[],2,FALSE)</f>
        <v>UPI BT</v>
      </c>
    </row>
    <row r="482" spans="1:5" x14ac:dyDescent="0.45">
      <c r="A482" t="s">
        <v>441</v>
      </c>
      <c r="B482">
        <v>0.38</v>
      </c>
      <c r="C482">
        <v>23</v>
      </c>
      <c r="D482">
        <v>481</v>
      </c>
      <c r="E482" s="11" t="str">
        <f>VLOOKUP(labors[[#This Row],[Column1.projectId]],projects[],2,FALSE)</f>
        <v>UPI BT</v>
      </c>
    </row>
    <row r="483" spans="1:5" x14ac:dyDescent="0.45">
      <c r="A483" t="s">
        <v>442</v>
      </c>
      <c r="B483">
        <v>0.35</v>
      </c>
      <c r="C483">
        <v>23</v>
      </c>
      <c r="D483">
        <v>482</v>
      </c>
      <c r="E483" s="11" t="str">
        <f>VLOOKUP(labors[[#This Row],[Column1.projectId]],projects[],2,FALSE)</f>
        <v>UPI BT</v>
      </c>
    </row>
    <row r="484" spans="1:5" x14ac:dyDescent="0.45">
      <c r="A484" t="s">
        <v>443</v>
      </c>
      <c r="B484">
        <v>0.85</v>
      </c>
      <c r="C484">
        <v>23</v>
      </c>
      <c r="D484">
        <v>483</v>
      </c>
      <c r="E484" s="11" t="str">
        <f>VLOOKUP(labors[[#This Row],[Column1.projectId]],projects[],2,FALSE)</f>
        <v>UPI BT</v>
      </c>
    </row>
    <row r="485" spans="1:5" x14ac:dyDescent="0.45">
      <c r="A485" t="s">
        <v>423</v>
      </c>
      <c r="B485">
        <v>1.0015000000000001</v>
      </c>
      <c r="C485">
        <v>24</v>
      </c>
      <c r="D485">
        <v>484</v>
      </c>
      <c r="E485" s="11" t="str">
        <f>VLOOKUP(labors[[#This Row],[Column1.projectId]],projects[],2,FALSE)</f>
        <v>Dual Flex</v>
      </c>
    </row>
    <row r="486" spans="1:5" x14ac:dyDescent="0.45">
      <c r="A486" t="s">
        <v>424</v>
      </c>
      <c r="B486">
        <v>-0.125</v>
      </c>
      <c r="C486">
        <v>24</v>
      </c>
      <c r="D486">
        <v>485</v>
      </c>
      <c r="E486" s="11" t="str">
        <f>VLOOKUP(labors[[#This Row],[Column1.projectId]],projects[],2,FALSE)</f>
        <v>Dual Flex</v>
      </c>
    </row>
    <row r="487" spans="1:5" x14ac:dyDescent="0.45">
      <c r="A487" t="s">
        <v>425</v>
      </c>
      <c r="B487">
        <v>0.06</v>
      </c>
      <c r="C487">
        <v>24</v>
      </c>
      <c r="D487">
        <v>486</v>
      </c>
      <c r="E487" s="11" t="str">
        <f>VLOOKUP(labors[[#This Row],[Column1.projectId]],projects[],2,FALSE)</f>
        <v>Dual Flex</v>
      </c>
    </row>
    <row r="488" spans="1:5" x14ac:dyDescent="0.45">
      <c r="A488" t="s">
        <v>426</v>
      </c>
      <c r="B488">
        <v>0.13</v>
      </c>
      <c r="C488">
        <v>24</v>
      </c>
      <c r="D488">
        <v>487</v>
      </c>
      <c r="E488" s="11" t="str">
        <f>VLOOKUP(labors[[#This Row],[Column1.projectId]],projects[],2,FALSE)</f>
        <v>Dual Flex</v>
      </c>
    </row>
    <row r="489" spans="1:5" x14ac:dyDescent="0.45">
      <c r="A489" t="s">
        <v>427</v>
      </c>
      <c r="B489">
        <v>0.1</v>
      </c>
      <c r="C489">
        <v>24</v>
      </c>
      <c r="D489">
        <v>488</v>
      </c>
      <c r="E489" s="11" t="str">
        <f>VLOOKUP(labors[[#This Row],[Column1.projectId]],projects[],2,FALSE)</f>
        <v>Dual Flex</v>
      </c>
    </row>
    <row r="490" spans="1:5" x14ac:dyDescent="0.45">
      <c r="A490" t="s">
        <v>428</v>
      </c>
      <c r="B490">
        <v>0.1515</v>
      </c>
      <c r="C490">
        <v>24</v>
      </c>
      <c r="D490">
        <v>489</v>
      </c>
      <c r="E490" s="11" t="str">
        <f>VLOOKUP(labors[[#This Row],[Column1.projectId]],projects[],2,FALSE)</f>
        <v>Dual Flex</v>
      </c>
    </row>
    <row r="491" spans="1:5" x14ac:dyDescent="0.45">
      <c r="A491" t="s">
        <v>429</v>
      </c>
      <c r="B491">
        <v>0.08</v>
      </c>
      <c r="C491">
        <v>24</v>
      </c>
      <c r="D491">
        <v>490</v>
      </c>
      <c r="E491" s="11" t="str">
        <f>VLOOKUP(labors[[#This Row],[Column1.projectId]],projects[],2,FALSE)</f>
        <v>Dual Flex</v>
      </c>
    </row>
    <row r="492" spans="1:5" x14ac:dyDescent="0.45">
      <c r="A492" t="s">
        <v>430</v>
      </c>
      <c r="B492">
        <v>0.35</v>
      </c>
      <c r="C492">
        <v>24</v>
      </c>
      <c r="D492">
        <v>491</v>
      </c>
      <c r="E492" s="11" t="str">
        <f>VLOOKUP(labors[[#This Row],[Column1.projectId]],projects[],2,FALSE)</f>
        <v>Dual Flex</v>
      </c>
    </row>
    <row r="493" spans="1:5" x14ac:dyDescent="0.45">
      <c r="A493" t="s">
        <v>431</v>
      </c>
      <c r="B493">
        <v>0</v>
      </c>
      <c r="C493">
        <v>24</v>
      </c>
      <c r="D493">
        <v>492</v>
      </c>
      <c r="E493" s="11" t="str">
        <f>VLOOKUP(labors[[#This Row],[Column1.projectId]],projects[],2,FALSE)</f>
        <v>Dual Flex</v>
      </c>
    </row>
    <row r="494" spans="1:5" x14ac:dyDescent="0.45">
      <c r="A494" t="s">
        <v>432</v>
      </c>
      <c r="B494">
        <v>-0.6</v>
      </c>
      <c r="C494">
        <v>24</v>
      </c>
      <c r="D494">
        <v>493</v>
      </c>
      <c r="E494" s="11" t="str">
        <f>VLOOKUP(labors[[#This Row],[Column1.projectId]],projects[],2,FALSE)</f>
        <v>Dual Flex</v>
      </c>
    </row>
    <row r="495" spans="1:5" x14ac:dyDescent="0.45">
      <c r="A495" t="s">
        <v>433</v>
      </c>
      <c r="B495">
        <v>0.65</v>
      </c>
      <c r="C495">
        <v>24</v>
      </c>
      <c r="D495">
        <v>494</v>
      </c>
      <c r="E495" s="11" t="str">
        <f>VLOOKUP(labors[[#This Row],[Column1.projectId]],projects[],2,FALSE)</f>
        <v>Dual Flex</v>
      </c>
    </row>
    <row r="496" spans="1:5" x14ac:dyDescent="0.45">
      <c r="A496" t="s">
        <v>434</v>
      </c>
      <c r="B496">
        <v>2.6249999999999999E-2</v>
      </c>
      <c r="C496">
        <v>24</v>
      </c>
      <c r="D496">
        <v>495</v>
      </c>
      <c r="E496" s="11" t="str">
        <f>VLOOKUP(labors[[#This Row],[Column1.projectId]],projects[],2,FALSE)</f>
        <v>Dual Flex</v>
      </c>
    </row>
    <row r="497" spans="1:5" x14ac:dyDescent="0.45">
      <c r="A497" t="s">
        <v>435</v>
      </c>
      <c r="B497">
        <v>0.03</v>
      </c>
      <c r="C497">
        <v>24</v>
      </c>
      <c r="D497">
        <v>496</v>
      </c>
      <c r="E497" s="11" t="str">
        <f>VLOOKUP(labors[[#This Row],[Column1.projectId]],projects[],2,FALSE)</f>
        <v>Dual Flex</v>
      </c>
    </row>
    <row r="498" spans="1:5" x14ac:dyDescent="0.45">
      <c r="A498" t="s">
        <v>436</v>
      </c>
      <c r="B498">
        <v>0.05</v>
      </c>
      <c r="C498">
        <v>24</v>
      </c>
      <c r="D498">
        <v>497</v>
      </c>
      <c r="E498" s="11" t="str">
        <f>VLOOKUP(labors[[#This Row],[Column1.projectId]],projects[],2,FALSE)</f>
        <v>Dual Flex</v>
      </c>
    </row>
    <row r="499" spans="1:5" x14ac:dyDescent="0.45">
      <c r="A499" t="s">
        <v>437</v>
      </c>
      <c r="B499">
        <v>0</v>
      </c>
      <c r="C499">
        <v>24</v>
      </c>
      <c r="D499">
        <v>498</v>
      </c>
      <c r="E499" s="11" t="str">
        <f>VLOOKUP(labors[[#This Row],[Column1.projectId]],projects[],2,FALSE)</f>
        <v>Dual Flex</v>
      </c>
    </row>
    <row r="500" spans="1:5" x14ac:dyDescent="0.45">
      <c r="A500" t="s">
        <v>438</v>
      </c>
      <c r="B500">
        <v>0</v>
      </c>
      <c r="C500">
        <v>24</v>
      </c>
      <c r="D500">
        <v>499</v>
      </c>
      <c r="E500" s="11" t="str">
        <f>VLOOKUP(labors[[#This Row],[Column1.projectId]],projects[],2,FALSE)</f>
        <v>Dual Flex</v>
      </c>
    </row>
    <row r="501" spans="1:5" x14ac:dyDescent="0.45">
      <c r="A501" t="s">
        <v>439</v>
      </c>
      <c r="B501">
        <v>0</v>
      </c>
      <c r="C501">
        <v>24</v>
      </c>
      <c r="D501">
        <v>500</v>
      </c>
      <c r="E501" s="11" t="str">
        <f>VLOOKUP(labors[[#This Row],[Column1.projectId]],projects[],2,FALSE)</f>
        <v>Dual Flex</v>
      </c>
    </row>
    <row r="502" spans="1:5" x14ac:dyDescent="0.45">
      <c r="A502" t="s">
        <v>440</v>
      </c>
      <c r="B502">
        <v>0.35</v>
      </c>
      <c r="C502">
        <v>24</v>
      </c>
      <c r="D502">
        <v>501</v>
      </c>
      <c r="E502" s="11" t="str">
        <f>VLOOKUP(labors[[#This Row],[Column1.projectId]],projects[],2,FALSE)</f>
        <v>Dual Flex</v>
      </c>
    </row>
    <row r="503" spans="1:5" x14ac:dyDescent="0.45">
      <c r="A503" t="s">
        <v>441</v>
      </c>
      <c r="B503">
        <v>0.38</v>
      </c>
      <c r="C503">
        <v>24</v>
      </c>
      <c r="D503">
        <v>502</v>
      </c>
      <c r="E503" s="11" t="str">
        <f>VLOOKUP(labors[[#This Row],[Column1.projectId]],projects[],2,FALSE)</f>
        <v>Dual Flex</v>
      </c>
    </row>
    <row r="504" spans="1:5" x14ac:dyDescent="0.45">
      <c r="A504" t="s">
        <v>442</v>
      </c>
      <c r="B504">
        <v>0.35</v>
      </c>
      <c r="C504">
        <v>24</v>
      </c>
      <c r="D504">
        <v>503</v>
      </c>
      <c r="E504" s="11" t="str">
        <f>VLOOKUP(labors[[#This Row],[Column1.projectId]],projects[],2,FALSE)</f>
        <v>Dual Flex</v>
      </c>
    </row>
    <row r="505" spans="1:5" x14ac:dyDescent="0.45">
      <c r="A505" t="s">
        <v>443</v>
      </c>
      <c r="B505">
        <v>0.85</v>
      </c>
      <c r="C505">
        <v>24</v>
      </c>
      <c r="D505">
        <v>504</v>
      </c>
      <c r="E505" s="11" t="str">
        <f>VLOOKUP(labors[[#This Row],[Column1.projectId]],projects[],2,FALSE)</f>
        <v>Dual Flex</v>
      </c>
    </row>
    <row r="506" spans="1:5" x14ac:dyDescent="0.45">
      <c r="A506" t="s">
        <v>423</v>
      </c>
      <c r="B506">
        <v>1.0015000000000001</v>
      </c>
      <c r="C506">
        <v>25</v>
      </c>
      <c r="D506">
        <v>505</v>
      </c>
      <c r="E506" s="11" t="str">
        <f>VLOOKUP(labors[[#This Row],[Column1.projectId]],projects[],2,FALSE)</f>
        <v>Westcoat Epoxy</v>
      </c>
    </row>
    <row r="507" spans="1:5" x14ac:dyDescent="0.45">
      <c r="A507" t="s">
        <v>424</v>
      </c>
      <c r="B507">
        <v>-0.125</v>
      </c>
      <c r="C507">
        <v>25</v>
      </c>
      <c r="D507">
        <v>506</v>
      </c>
      <c r="E507" s="11" t="str">
        <f>VLOOKUP(labors[[#This Row],[Column1.projectId]],projects[],2,FALSE)</f>
        <v>Westcoat Epoxy</v>
      </c>
    </row>
    <row r="508" spans="1:5" x14ac:dyDescent="0.45">
      <c r="A508" t="s">
        <v>425</v>
      </c>
      <c r="B508">
        <v>0.06</v>
      </c>
      <c r="C508">
        <v>25</v>
      </c>
      <c r="D508">
        <v>507</v>
      </c>
      <c r="E508" s="11" t="str">
        <f>VLOOKUP(labors[[#This Row],[Column1.projectId]],projects[],2,FALSE)</f>
        <v>Westcoat Epoxy</v>
      </c>
    </row>
    <row r="509" spans="1:5" x14ac:dyDescent="0.45">
      <c r="A509" t="s">
        <v>426</v>
      </c>
      <c r="B509">
        <v>0.13</v>
      </c>
      <c r="C509">
        <v>25</v>
      </c>
      <c r="D509">
        <v>508</v>
      </c>
      <c r="E509" s="11" t="str">
        <f>VLOOKUP(labors[[#This Row],[Column1.projectId]],projects[],2,FALSE)</f>
        <v>Westcoat Epoxy</v>
      </c>
    </row>
    <row r="510" spans="1:5" x14ac:dyDescent="0.45">
      <c r="A510" t="s">
        <v>427</v>
      </c>
      <c r="B510">
        <v>0.1</v>
      </c>
      <c r="C510">
        <v>25</v>
      </c>
      <c r="D510">
        <v>509</v>
      </c>
      <c r="E510" s="11" t="str">
        <f>VLOOKUP(labors[[#This Row],[Column1.projectId]],projects[],2,FALSE)</f>
        <v>Westcoat Epoxy</v>
      </c>
    </row>
    <row r="511" spans="1:5" x14ac:dyDescent="0.45">
      <c r="A511" t="s">
        <v>428</v>
      </c>
      <c r="B511">
        <v>0.1515</v>
      </c>
      <c r="C511">
        <v>25</v>
      </c>
      <c r="D511">
        <v>510</v>
      </c>
      <c r="E511" s="11" t="str">
        <f>VLOOKUP(labors[[#This Row],[Column1.projectId]],projects[],2,FALSE)</f>
        <v>Westcoat Epoxy</v>
      </c>
    </row>
    <row r="512" spans="1:5" x14ac:dyDescent="0.45">
      <c r="A512" t="s">
        <v>429</v>
      </c>
      <c r="B512">
        <v>0.08</v>
      </c>
      <c r="C512">
        <v>25</v>
      </c>
      <c r="D512">
        <v>511</v>
      </c>
      <c r="E512" s="11" t="str">
        <f>VLOOKUP(labors[[#This Row],[Column1.projectId]],projects[],2,FALSE)</f>
        <v>Westcoat Epoxy</v>
      </c>
    </row>
    <row r="513" spans="1:5" x14ac:dyDescent="0.45">
      <c r="A513" t="s">
        <v>430</v>
      </c>
      <c r="B513">
        <v>0.35</v>
      </c>
      <c r="C513">
        <v>25</v>
      </c>
      <c r="D513">
        <v>512</v>
      </c>
      <c r="E513" s="11" t="str">
        <f>VLOOKUP(labors[[#This Row],[Column1.projectId]],projects[],2,FALSE)</f>
        <v>Westcoat Epoxy</v>
      </c>
    </row>
    <row r="514" spans="1:5" x14ac:dyDescent="0.45">
      <c r="A514" t="s">
        <v>431</v>
      </c>
      <c r="B514">
        <v>0</v>
      </c>
      <c r="C514">
        <v>25</v>
      </c>
      <c r="D514">
        <v>513</v>
      </c>
      <c r="E514" s="11" t="str">
        <f>VLOOKUP(labors[[#This Row],[Column1.projectId]],projects[],2,FALSE)</f>
        <v>Westcoat Epoxy</v>
      </c>
    </row>
    <row r="515" spans="1:5" x14ac:dyDescent="0.45">
      <c r="A515" t="s">
        <v>432</v>
      </c>
      <c r="B515">
        <v>-0.6</v>
      </c>
      <c r="C515">
        <v>25</v>
      </c>
      <c r="D515">
        <v>514</v>
      </c>
      <c r="E515" s="11" t="str">
        <f>VLOOKUP(labors[[#This Row],[Column1.projectId]],projects[],2,FALSE)</f>
        <v>Westcoat Epoxy</v>
      </c>
    </row>
    <row r="516" spans="1:5" x14ac:dyDescent="0.45">
      <c r="A516" t="s">
        <v>433</v>
      </c>
      <c r="B516">
        <v>0.65</v>
      </c>
      <c r="C516">
        <v>25</v>
      </c>
      <c r="D516">
        <v>515</v>
      </c>
      <c r="E516" s="11" t="str">
        <f>VLOOKUP(labors[[#This Row],[Column1.projectId]],projects[],2,FALSE)</f>
        <v>Westcoat Epoxy</v>
      </c>
    </row>
    <row r="517" spans="1:5" x14ac:dyDescent="0.45">
      <c r="A517" t="s">
        <v>434</v>
      </c>
      <c r="B517">
        <v>2.6249999999999999E-2</v>
      </c>
      <c r="C517">
        <v>25</v>
      </c>
      <c r="D517">
        <v>516</v>
      </c>
      <c r="E517" s="11" t="str">
        <f>VLOOKUP(labors[[#This Row],[Column1.projectId]],projects[],2,FALSE)</f>
        <v>Westcoat Epoxy</v>
      </c>
    </row>
    <row r="518" spans="1:5" x14ac:dyDescent="0.45">
      <c r="A518" t="s">
        <v>435</v>
      </c>
      <c r="B518">
        <v>0.03</v>
      </c>
      <c r="C518">
        <v>25</v>
      </c>
      <c r="D518">
        <v>517</v>
      </c>
      <c r="E518" s="11" t="str">
        <f>VLOOKUP(labors[[#This Row],[Column1.projectId]],projects[],2,FALSE)</f>
        <v>Westcoat Epoxy</v>
      </c>
    </row>
    <row r="519" spans="1:5" x14ac:dyDescent="0.45">
      <c r="A519" t="s">
        <v>436</v>
      </c>
      <c r="B519">
        <v>0.05</v>
      </c>
      <c r="C519">
        <v>25</v>
      </c>
      <c r="D519">
        <v>518</v>
      </c>
      <c r="E519" s="11" t="str">
        <f>VLOOKUP(labors[[#This Row],[Column1.projectId]],projects[],2,FALSE)</f>
        <v>Westcoat Epoxy</v>
      </c>
    </row>
    <row r="520" spans="1:5" x14ac:dyDescent="0.45">
      <c r="A520" t="s">
        <v>437</v>
      </c>
      <c r="B520">
        <v>0</v>
      </c>
      <c r="C520">
        <v>25</v>
      </c>
      <c r="D520">
        <v>519</v>
      </c>
      <c r="E520" s="11" t="str">
        <f>VLOOKUP(labors[[#This Row],[Column1.projectId]],projects[],2,FALSE)</f>
        <v>Westcoat Epoxy</v>
      </c>
    </row>
    <row r="521" spans="1:5" x14ac:dyDescent="0.45">
      <c r="A521" t="s">
        <v>438</v>
      </c>
      <c r="B521">
        <v>0</v>
      </c>
      <c r="C521">
        <v>25</v>
      </c>
      <c r="D521">
        <v>520</v>
      </c>
      <c r="E521" s="11" t="str">
        <f>VLOOKUP(labors[[#This Row],[Column1.projectId]],projects[],2,FALSE)</f>
        <v>Westcoat Epoxy</v>
      </c>
    </row>
    <row r="522" spans="1:5" x14ac:dyDescent="0.45">
      <c r="A522" t="s">
        <v>439</v>
      </c>
      <c r="B522">
        <v>0</v>
      </c>
      <c r="C522">
        <v>25</v>
      </c>
      <c r="D522">
        <v>521</v>
      </c>
      <c r="E522" s="11" t="str">
        <f>VLOOKUP(labors[[#This Row],[Column1.projectId]],projects[],2,FALSE)</f>
        <v>Westcoat Epoxy</v>
      </c>
    </row>
    <row r="523" spans="1:5" x14ac:dyDescent="0.45">
      <c r="A523" t="s">
        <v>440</v>
      </c>
      <c r="B523">
        <v>0.35</v>
      </c>
      <c r="C523">
        <v>25</v>
      </c>
      <c r="D523">
        <v>522</v>
      </c>
      <c r="E523" s="11" t="str">
        <f>VLOOKUP(labors[[#This Row],[Column1.projectId]],projects[],2,FALSE)</f>
        <v>Westcoat Epoxy</v>
      </c>
    </row>
    <row r="524" spans="1:5" x14ac:dyDescent="0.45">
      <c r="A524" t="s">
        <v>441</v>
      </c>
      <c r="B524">
        <v>0.38</v>
      </c>
      <c r="C524">
        <v>25</v>
      </c>
      <c r="D524">
        <v>523</v>
      </c>
      <c r="E524" s="11" t="str">
        <f>VLOOKUP(labors[[#This Row],[Column1.projectId]],projects[],2,FALSE)</f>
        <v>Westcoat Epoxy</v>
      </c>
    </row>
    <row r="525" spans="1:5" x14ac:dyDescent="0.45">
      <c r="A525" t="s">
        <v>442</v>
      </c>
      <c r="B525">
        <v>0.35</v>
      </c>
      <c r="C525">
        <v>25</v>
      </c>
      <c r="D525">
        <v>524</v>
      </c>
      <c r="E525" s="11" t="str">
        <f>VLOOKUP(labors[[#This Row],[Column1.projectId]],projects[],2,FALSE)</f>
        <v>Westcoat Epoxy</v>
      </c>
    </row>
    <row r="526" spans="1:5" x14ac:dyDescent="0.45">
      <c r="A526" t="s">
        <v>443</v>
      </c>
      <c r="B526">
        <v>0.85</v>
      </c>
      <c r="C526">
        <v>25</v>
      </c>
      <c r="D526">
        <v>525</v>
      </c>
      <c r="E526" s="11" t="str">
        <f>VLOOKUP(labors[[#This Row],[Column1.projectId]],projects[],2,FALSE)</f>
        <v>Westcoat Epoxy</v>
      </c>
    </row>
    <row r="527" spans="1:5" x14ac:dyDescent="0.45">
      <c r="A527" t="s">
        <v>423</v>
      </c>
      <c r="B527">
        <v>1.0015000000000001</v>
      </c>
      <c r="C527">
        <v>26</v>
      </c>
      <c r="D527">
        <v>526</v>
      </c>
      <c r="E527" s="11" t="str">
        <f>VLOOKUP(labors[[#This Row],[Column1.projectId]],projects[],2,FALSE)</f>
        <v>Polyurethane Injection Block</v>
      </c>
    </row>
    <row r="528" spans="1:5" x14ac:dyDescent="0.45">
      <c r="A528" t="s">
        <v>424</v>
      </c>
      <c r="B528">
        <v>-0.125</v>
      </c>
      <c r="C528">
        <v>26</v>
      </c>
      <c r="D528">
        <v>527</v>
      </c>
      <c r="E528" s="11" t="str">
        <f>VLOOKUP(labors[[#This Row],[Column1.projectId]],projects[],2,FALSE)</f>
        <v>Polyurethane Injection Block</v>
      </c>
    </row>
    <row r="529" spans="1:5" x14ac:dyDescent="0.45">
      <c r="A529" t="s">
        <v>425</v>
      </c>
      <c r="B529">
        <v>0.06</v>
      </c>
      <c r="C529">
        <v>26</v>
      </c>
      <c r="D529">
        <v>528</v>
      </c>
      <c r="E529" s="11" t="str">
        <f>VLOOKUP(labors[[#This Row],[Column1.projectId]],projects[],2,FALSE)</f>
        <v>Polyurethane Injection Block</v>
      </c>
    </row>
    <row r="530" spans="1:5" x14ac:dyDescent="0.45">
      <c r="A530" t="s">
        <v>426</v>
      </c>
      <c r="B530">
        <v>0.13</v>
      </c>
      <c r="C530">
        <v>26</v>
      </c>
      <c r="D530">
        <v>529</v>
      </c>
      <c r="E530" s="11" t="str">
        <f>VLOOKUP(labors[[#This Row],[Column1.projectId]],projects[],2,FALSE)</f>
        <v>Polyurethane Injection Block</v>
      </c>
    </row>
    <row r="531" spans="1:5" x14ac:dyDescent="0.45">
      <c r="A531" t="s">
        <v>427</v>
      </c>
      <c r="B531">
        <v>0.1</v>
      </c>
      <c r="C531">
        <v>26</v>
      </c>
      <c r="D531">
        <v>530</v>
      </c>
      <c r="E531" s="11" t="str">
        <f>VLOOKUP(labors[[#This Row],[Column1.projectId]],projects[],2,FALSE)</f>
        <v>Polyurethane Injection Block</v>
      </c>
    </row>
    <row r="532" spans="1:5" x14ac:dyDescent="0.45">
      <c r="A532" t="s">
        <v>428</v>
      </c>
      <c r="B532">
        <v>0.1515</v>
      </c>
      <c r="C532">
        <v>26</v>
      </c>
      <c r="D532">
        <v>531</v>
      </c>
      <c r="E532" s="11" t="str">
        <f>VLOOKUP(labors[[#This Row],[Column1.projectId]],projects[],2,FALSE)</f>
        <v>Polyurethane Injection Block</v>
      </c>
    </row>
    <row r="533" spans="1:5" x14ac:dyDescent="0.45">
      <c r="A533" t="s">
        <v>429</v>
      </c>
      <c r="B533">
        <v>0.08</v>
      </c>
      <c r="C533">
        <v>26</v>
      </c>
      <c r="D533">
        <v>532</v>
      </c>
      <c r="E533" s="11" t="str">
        <f>VLOOKUP(labors[[#This Row],[Column1.projectId]],projects[],2,FALSE)</f>
        <v>Polyurethane Injection Block</v>
      </c>
    </row>
    <row r="534" spans="1:5" x14ac:dyDescent="0.45">
      <c r="A534" t="s">
        <v>430</v>
      </c>
      <c r="B534">
        <v>0.35</v>
      </c>
      <c r="C534">
        <v>26</v>
      </c>
      <c r="D534">
        <v>533</v>
      </c>
      <c r="E534" s="11" t="str">
        <f>VLOOKUP(labors[[#This Row],[Column1.projectId]],projects[],2,FALSE)</f>
        <v>Polyurethane Injection Block</v>
      </c>
    </row>
    <row r="535" spans="1:5" x14ac:dyDescent="0.45">
      <c r="A535" t="s">
        <v>431</v>
      </c>
      <c r="B535">
        <v>0</v>
      </c>
      <c r="C535">
        <v>26</v>
      </c>
      <c r="D535">
        <v>534</v>
      </c>
      <c r="E535" s="11" t="str">
        <f>VLOOKUP(labors[[#This Row],[Column1.projectId]],projects[],2,FALSE)</f>
        <v>Polyurethane Injection Block</v>
      </c>
    </row>
    <row r="536" spans="1:5" x14ac:dyDescent="0.45">
      <c r="A536" t="s">
        <v>432</v>
      </c>
      <c r="B536">
        <v>-0.6</v>
      </c>
      <c r="C536">
        <v>26</v>
      </c>
      <c r="D536">
        <v>535</v>
      </c>
      <c r="E536" s="11" t="str">
        <f>VLOOKUP(labors[[#This Row],[Column1.projectId]],projects[],2,FALSE)</f>
        <v>Polyurethane Injection Block</v>
      </c>
    </row>
    <row r="537" spans="1:5" x14ac:dyDescent="0.45">
      <c r="A537" t="s">
        <v>433</v>
      </c>
      <c r="B537">
        <v>0.65</v>
      </c>
      <c r="C537">
        <v>26</v>
      </c>
      <c r="D537">
        <v>536</v>
      </c>
      <c r="E537" s="11" t="str">
        <f>VLOOKUP(labors[[#This Row],[Column1.projectId]],projects[],2,FALSE)</f>
        <v>Polyurethane Injection Block</v>
      </c>
    </row>
    <row r="538" spans="1:5" x14ac:dyDescent="0.45">
      <c r="A538" t="s">
        <v>434</v>
      </c>
      <c r="B538">
        <v>2.6249999999999999E-2</v>
      </c>
      <c r="C538">
        <v>26</v>
      </c>
      <c r="D538">
        <v>537</v>
      </c>
      <c r="E538" s="11" t="str">
        <f>VLOOKUP(labors[[#This Row],[Column1.projectId]],projects[],2,FALSE)</f>
        <v>Polyurethane Injection Block</v>
      </c>
    </row>
    <row r="539" spans="1:5" x14ac:dyDescent="0.45">
      <c r="A539" t="s">
        <v>435</v>
      </c>
      <c r="B539">
        <v>0.03</v>
      </c>
      <c r="C539">
        <v>26</v>
      </c>
      <c r="D539">
        <v>538</v>
      </c>
      <c r="E539" s="11" t="str">
        <f>VLOOKUP(labors[[#This Row],[Column1.projectId]],projects[],2,FALSE)</f>
        <v>Polyurethane Injection Block</v>
      </c>
    </row>
    <row r="540" spans="1:5" x14ac:dyDescent="0.45">
      <c r="A540" t="s">
        <v>436</v>
      </c>
      <c r="B540">
        <v>0.05</v>
      </c>
      <c r="C540">
        <v>26</v>
      </c>
      <c r="D540">
        <v>539</v>
      </c>
      <c r="E540" s="11" t="str">
        <f>VLOOKUP(labors[[#This Row],[Column1.projectId]],projects[],2,FALSE)</f>
        <v>Polyurethane Injection Block</v>
      </c>
    </row>
    <row r="541" spans="1:5" x14ac:dyDescent="0.45">
      <c r="A541" t="s">
        <v>437</v>
      </c>
      <c r="B541">
        <v>0</v>
      </c>
      <c r="C541">
        <v>26</v>
      </c>
      <c r="D541">
        <v>540</v>
      </c>
      <c r="E541" s="11" t="str">
        <f>VLOOKUP(labors[[#This Row],[Column1.projectId]],projects[],2,FALSE)</f>
        <v>Polyurethane Injection Block</v>
      </c>
    </row>
    <row r="542" spans="1:5" x14ac:dyDescent="0.45">
      <c r="A542" t="s">
        <v>438</v>
      </c>
      <c r="B542">
        <v>0</v>
      </c>
      <c r="C542">
        <v>26</v>
      </c>
      <c r="D542">
        <v>541</v>
      </c>
      <c r="E542" s="11" t="str">
        <f>VLOOKUP(labors[[#This Row],[Column1.projectId]],projects[],2,FALSE)</f>
        <v>Polyurethane Injection Block</v>
      </c>
    </row>
    <row r="543" spans="1:5" x14ac:dyDescent="0.45">
      <c r="A543" t="s">
        <v>439</v>
      </c>
      <c r="B543">
        <v>0</v>
      </c>
      <c r="C543">
        <v>26</v>
      </c>
      <c r="D543">
        <v>542</v>
      </c>
      <c r="E543" s="11" t="str">
        <f>VLOOKUP(labors[[#This Row],[Column1.projectId]],projects[],2,FALSE)</f>
        <v>Polyurethane Injection Block</v>
      </c>
    </row>
    <row r="544" spans="1:5" x14ac:dyDescent="0.45">
      <c r="A544" t="s">
        <v>440</v>
      </c>
      <c r="B544">
        <v>0.35</v>
      </c>
      <c r="C544">
        <v>26</v>
      </c>
      <c r="D544">
        <v>543</v>
      </c>
      <c r="E544" s="11" t="str">
        <f>VLOOKUP(labors[[#This Row],[Column1.projectId]],projects[],2,FALSE)</f>
        <v>Polyurethane Injection Block</v>
      </c>
    </row>
    <row r="545" spans="1:5" x14ac:dyDescent="0.45">
      <c r="A545" t="s">
        <v>441</v>
      </c>
      <c r="B545">
        <v>0.55000000000000004</v>
      </c>
      <c r="C545">
        <v>26</v>
      </c>
      <c r="D545">
        <v>544</v>
      </c>
      <c r="E545" s="11" t="str">
        <f>VLOOKUP(labors[[#This Row],[Column1.projectId]],projects[],2,FALSE)</f>
        <v>Polyurethane Injection Block</v>
      </c>
    </row>
    <row r="546" spans="1:5" x14ac:dyDescent="0.45">
      <c r="A546" t="s">
        <v>442</v>
      </c>
      <c r="B546">
        <v>0.35</v>
      </c>
      <c r="C546">
        <v>26</v>
      </c>
      <c r="D546">
        <v>545</v>
      </c>
      <c r="E546" s="11" t="str">
        <f>VLOOKUP(labors[[#This Row],[Column1.projectId]],projects[],2,FALSE)</f>
        <v>Polyurethane Injection Block</v>
      </c>
    </row>
    <row r="547" spans="1:5" x14ac:dyDescent="0.45">
      <c r="A547" t="s">
        <v>443</v>
      </c>
      <c r="B547">
        <v>0.85</v>
      </c>
      <c r="C547">
        <v>26</v>
      </c>
      <c r="D547">
        <v>546</v>
      </c>
      <c r="E547" s="11" t="str">
        <f>VLOOKUP(labors[[#This Row],[Column1.projectId]],projects[],2,FALSE)</f>
        <v>Polyurethane Injection Block</v>
      </c>
    </row>
    <row r="548" spans="1:5" x14ac:dyDescent="0.45">
      <c r="A548" t="s">
        <v>423</v>
      </c>
      <c r="B548">
        <v>1.0015000000000001</v>
      </c>
      <c r="C548">
        <v>27</v>
      </c>
      <c r="D548">
        <v>547</v>
      </c>
      <c r="E548" s="11" t="str">
        <f>VLOOKUP(labors[[#This Row],[Column1.projectId]],projects[],2,FALSE)</f>
        <v>Xypex</v>
      </c>
    </row>
    <row r="549" spans="1:5" x14ac:dyDescent="0.45">
      <c r="A549" t="s">
        <v>424</v>
      </c>
      <c r="B549">
        <v>-0.125</v>
      </c>
      <c r="C549">
        <v>27</v>
      </c>
      <c r="D549">
        <v>548</v>
      </c>
      <c r="E549" s="11" t="str">
        <f>VLOOKUP(labors[[#This Row],[Column1.projectId]],projects[],2,FALSE)</f>
        <v>Xypex</v>
      </c>
    </row>
    <row r="550" spans="1:5" x14ac:dyDescent="0.45">
      <c r="A550" t="s">
        <v>425</v>
      </c>
      <c r="B550">
        <v>0.06</v>
      </c>
      <c r="C550">
        <v>27</v>
      </c>
      <c r="D550">
        <v>549</v>
      </c>
      <c r="E550" s="11" t="str">
        <f>VLOOKUP(labors[[#This Row],[Column1.projectId]],projects[],2,FALSE)</f>
        <v>Xypex</v>
      </c>
    </row>
    <row r="551" spans="1:5" x14ac:dyDescent="0.45">
      <c r="A551" t="s">
        <v>426</v>
      </c>
      <c r="B551">
        <v>0.13</v>
      </c>
      <c r="C551">
        <v>27</v>
      </c>
      <c r="D551">
        <v>550</v>
      </c>
      <c r="E551" s="11" t="str">
        <f>VLOOKUP(labors[[#This Row],[Column1.projectId]],projects[],2,FALSE)</f>
        <v>Xypex</v>
      </c>
    </row>
    <row r="552" spans="1:5" x14ac:dyDescent="0.45">
      <c r="A552" t="s">
        <v>427</v>
      </c>
      <c r="B552">
        <v>0.1</v>
      </c>
      <c r="C552">
        <v>27</v>
      </c>
      <c r="D552">
        <v>551</v>
      </c>
      <c r="E552" s="11" t="str">
        <f>VLOOKUP(labors[[#This Row],[Column1.projectId]],projects[],2,FALSE)</f>
        <v>Xypex</v>
      </c>
    </row>
    <row r="553" spans="1:5" x14ac:dyDescent="0.45">
      <c r="A553" t="s">
        <v>428</v>
      </c>
      <c r="B553">
        <v>0.1515</v>
      </c>
      <c r="C553">
        <v>27</v>
      </c>
      <c r="D553">
        <v>552</v>
      </c>
      <c r="E553" s="11" t="str">
        <f>VLOOKUP(labors[[#This Row],[Column1.projectId]],projects[],2,FALSE)</f>
        <v>Xypex</v>
      </c>
    </row>
    <row r="554" spans="1:5" x14ac:dyDescent="0.45">
      <c r="A554" t="s">
        <v>429</v>
      </c>
      <c r="B554">
        <v>0.08</v>
      </c>
      <c r="C554">
        <v>27</v>
      </c>
      <c r="D554">
        <v>553</v>
      </c>
      <c r="E554" s="11" t="str">
        <f>VLOOKUP(labors[[#This Row],[Column1.projectId]],projects[],2,FALSE)</f>
        <v>Xypex</v>
      </c>
    </row>
    <row r="555" spans="1:5" x14ac:dyDescent="0.45">
      <c r="A555" t="s">
        <v>430</v>
      </c>
      <c r="B555">
        <v>0.35</v>
      </c>
      <c r="C555">
        <v>27</v>
      </c>
      <c r="D555">
        <v>554</v>
      </c>
      <c r="E555" s="11" t="str">
        <f>VLOOKUP(labors[[#This Row],[Column1.projectId]],projects[],2,FALSE)</f>
        <v>Xypex</v>
      </c>
    </row>
    <row r="556" spans="1:5" x14ac:dyDescent="0.45">
      <c r="A556" t="s">
        <v>431</v>
      </c>
      <c r="B556">
        <v>0</v>
      </c>
      <c r="C556">
        <v>27</v>
      </c>
      <c r="D556">
        <v>555</v>
      </c>
      <c r="E556" s="11" t="str">
        <f>VLOOKUP(labors[[#This Row],[Column1.projectId]],projects[],2,FALSE)</f>
        <v>Xypex</v>
      </c>
    </row>
    <row r="557" spans="1:5" x14ac:dyDescent="0.45">
      <c r="A557" t="s">
        <v>432</v>
      </c>
      <c r="B557">
        <v>-0.6</v>
      </c>
      <c r="C557">
        <v>27</v>
      </c>
      <c r="D557">
        <v>556</v>
      </c>
      <c r="E557" s="11" t="str">
        <f>VLOOKUP(labors[[#This Row],[Column1.projectId]],projects[],2,FALSE)</f>
        <v>Xypex</v>
      </c>
    </row>
    <row r="558" spans="1:5" x14ac:dyDescent="0.45">
      <c r="A558" t="s">
        <v>433</v>
      </c>
      <c r="B558">
        <v>0.65</v>
      </c>
      <c r="C558">
        <v>27</v>
      </c>
      <c r="D558">
        <v>557</v>
      </c>
      <c r="E558" s="11" t="str">
        <f>VLOOKUP(labors[[#This Row],[Column1.projectId]],projects[],2,FALSE)</f>
        <v>Xypex</v>
      </c>
    </row>
    <row r="559" spans="1:5" x14ac:dyDescent="0.45">
      <c r="A559" t="s">
        <v>434</v>
      </c>
      <c r="B559">
        <v>2.6249999999999999E-2</v>
      </c>
      <c r="C559">
        <v>27</v>
      </c>
      <c r="D559">
        <v>558</v>
      </c>
      <c r="E559" s="11" t="str">
        <f>VLOOKUP(labors[[#This Row],[Column1.projectId]],projects[],2,FALSE)</f>
        <v>Xypex</v>
      </c>
    </row>
    <row r="560" spans="1:5" x14ac:dyDescent="0.45">
      <c r="A560" t="s">
        <v>435</v>
      </c>
      <c r="B560">
        <v>0.03</v>
      </c>
      <c r="C560">
        <v>27</v>
      </c>
      <c r="D560">
        <v>559</v>
      </c>
      <c r="E560" s="11" t="str">
        <f>VLOOKUP(labors[[#This Row],[Column1.projectId]],projects[],2,FALSE)</f>
        <v>Xypex</v>
      </c>
    </row>
    <row r="561" spans="1:5" x14ac:dyDescent="0.45">
      <c r="A561" t="s">
        <v>436</v>
      </c>
      <c r="B561">
        <v>0.05</v>
      </c>
      <c r="C561">
        <v>27</v>
      </c>
      <c r="D561">
        <v>560</v>
      </c>
      <c r="E561" s="11" t="str">
        <f>VLOOKUP(labors[[#This Row],[Column1.projectId]],projects[],2,FALSE)</f>
        <v>Xypex</v>
      </c>
    </row>
    <row r="562" spans="1:5" x14ac:dyDescent="0.45">
      <c r="A562" t="s">
        <v>437</v>
      </c>
      <c r="B562">
        <v>0</v>
      </c>
      <c r="C562">
        <v>27</v>
      </c>
      <c r="D562">
        <v>561</v>
      </c>
      <c r="E562" s="11" t="str">
        <f>VLOOKUP(labors[[#This Row],[Column1.projectId]],projects[],2,FALSE)</f>
        <v>Xypex</v>
      </c>
    </row>
    <row r="563" spans="1:5" x14ac:dyDescent="0.45">
      <c r="A563" t="s">
        <v>438</v>
      </c>
      <c r="B563">
        <v>0</v>
      </c>
      <c r="C563">
        <v>27</v>
      </c>
      <c r="D563">
        <v>562</v>
      </c>
      <c r="E563" s="11" t="str">
        <f>VLOOKUP(labors[[#This Row],[Column1.projectId]],projects[],2,FALSE)</f>
        <v>Xypex</v>
      </c>
    </row>
    <row r="564" spans="1:5" x14ac:dyDescent="0.45">
      <c r="A564" t="s">
        <v>439</v>
      </c>
      <c r="B564">
        <v>0</v>
      </c>
      <c r="C564">
        <v>27</v>
      </c>
      <c r="D564">
        <v>563</v>
      </c>
      <c r="E564" s="11" t="str">
        <f>VLOOKUP(labors[[#This Row],[Column1.projectId]],projects[],2,FALSE)</f>
        <v>Xypex</v>
      </c>
    </row>
    <row r="565" spans="1:5" x14ac:dyDescent="0.45">
      <c r="A565" t="s">
        <v>440</v>
      </c>
      <c r="B565">
        <v>0.35</v>
      </c>
      <c r="C565">
        <v>27</v>
      </c>
      <c r="D565">
        <v>564</v>
      </c>
      <c r="E565" s="11" t="str">
        <f>VLOOKUP(labors[[#This Row],[Column1.projectId]],projects[],2,FALSE)</f>
        <v>Xypex</v>
      </c>
    </row>
    <row r="566" spans="1:5" x14ac:dyDescent="0.45">
      <c r="A566" t="s">
        <v>441</v>
      </c>
      <c r="B566">
        <v>0.38</v>
      </c>
      <c r="C566">
        <v>27</v>
      </c>
      <c r="D566">
        <v>565</v>
      </c>
      <c r="E566" s="11" t="str">
        <f>VLOOKUP(labors[[#This Row],[Column1.projectId]],projects[],2,FALSE)</f>
        <v>Xypex</v>
      </c>
    </row>
    <row r="567" spans="1:5" x14ac:dyDescent="0.45">
      <c r="A567" t="s">
        <v>442</v>
      </c>
      <c r="B567">
        <v>0.35</v>
      </c>
      <c r="C567">
        <v>27</v>
      </c>
      <c r="D567">
        <v>566</v>
      </c>
      <c r="E567" s="11" t="str">
        <f>VLOOKUP(labors[[#This Row],[Column1.projectId]],projects[],2,FALSE)</f>
        <v>Xypex</v>
      </c>
    </row>
    <row r="568" spans="1:5" x14ac:dyDescent="0.45">
      <c r="A568" t="s">
        <v>443</v>
      </c>
      <c r="B568">
        <v>0.85</v>
      </c>
      <c r="C568">
        <v>27</v>
      </c>
      <c r="D568">
        <v>567</v>
      </c>
      <c r="E568" s="11" t="str">
        <f>VLOOKUP(labors[[#This Row],[Column1.projectId]],projects[],2,FALSE)</f>
        <v>Xypex</v>
      </c>
    </row>
    <row r="569" spans="1:5" x14ac:dyDescent="0.45">
      <c r="A569" t="s">
        <v>444</v>
      </c>
      <c r="B569">
        <v>6.75</v>
      </c>
      <c r="C569">
        <v>1</v>
      </c>
      <c r="D569">
        <v>568</v>
      </c>
      <c r="E569" s="11" t="str">
        <f>VLOOKUP(labors[[#This Row],[Column1.projectId]],projects[],2,FALSE)</f>
        <v>Weather Wear</v>
      </c>
    </row>
    <row r="570" spans="1:5" x14ac:dyDescent="0.45">
      <c r="A570" t="s">
        <v>444</v>
      </c>
      <c r="B570">
        <v>6.75</v>
      </c>
      <c r="C570">
        <v>2</v>
      </c>
      <c r="D570">
        <v>569</v>
      </c>
      <c r="E570" s="11" t="str">
        <f>VLOOKUP(labors[[#This Row],[Column1.projectId]],projects[],2,FALSE)</f>
        <v>Weather Wear Rehab</v>
      </c>
    </row>
    <row r="571" spans="1:5" x14ac:dyDescent="0.45">
      <c r="A571" t="s">
        <v>444</v>
      </c>
      <c r="B571">
        <v>5.75</v>
      </c>
      <c r="C571">
        <v>3</v>
      </c>
      <c r="D571">
        <v>570</v>
      </c>
      <c r="E571" s="11" t="str">
        <f>VLOOKUP(labors[[#This Row],[Column1.projectId]],projects[],2,FALSE)</f>
        <v>Barrier Guard</v>
      </c>
    </row>
    <row r="572" spans="1:5" x14ac:dyDescent="0.45">
      <c r="A572" t="s">
        <v>444</v>
      </c>
      <c r="B572">
        <v>5.25</v>
      </c>
      <c r="C572">
        <v>4</v>
      </c>
      <c r="D572">
        <v>571</v>
      </c>
      <c r="E572" s="11" t="str">
        <f>VLOOKUP(labors[[#This Row],[Column1.projectId]],projects[],2,FALSE)</f>
        <v>Endurokote</v>
      </c>
    </row>
    <row r="573" spans="1:5" x14ac:dyDescent="0.45">
      <c r="A573" t="s">
        <v>444</v>
      </c>
      <c r="B573">
        <v>3</v>
      </c>
      <c r="C573">
        <v>18</v>
      </c>
      <c r="D573">
        <v>572</v>
      </c>
      <c r="E573" s="11" t="str">
        <f>VLOOKUP(labors[[#This Row],[Column1.projectId]],projects[],2,FALSE)</f>
        <v>Reseal all systems</v>
      </c>
    </row>
    <row r="574" spans="1:5" x14ac:dyDescent="0.45">
      <c r="A574" t="s">
        <v>444</v>
      </c>
      <c r="B574">
        <v>3</v>
      </c>
      <c r="C574">
        <v>15</v>
      </c>
      <c r="D574">
        <v>573</v>
      </c>
      <c r="E574" s="11" t="str">
        <f>VLOOKUP(labors[[#This Row],[Column1.projectId]],projects[],2,FALSE)</f>
        <v>Color Wash Reseal</v>
      </c>
    </row>
    <row r="575" spans="1:5" x14ac:dyDescent="0.45">
      <c r="A575" t="s">
        <v>444</v>
      </c>
      <c r="B575">
        <v>3</v>
      </c>
      <c r="C575">
        <v>5</v>
      </c>
      <c r="D575">
        <v>574</v>
      </c>
      <c r="E575" s="11" t="str">
        <f>VLOOKUP(labors[[#This Row],[Column1.projectId]],projects[],2,FALSE)</f>
        <v>Desert Crete</v>
      </c>
    </row>
    <row r="576" spans="1:5" x14ac:dyDescent="0.45">
      <c r="A576" t="s">
        <v>444</v>
      </c>
      <c r="B576">
        <v>5.75</v>
      </c>
      <c r="C576">
        <v>12</v>
      </c>
      <c r="D576">
        <v>575</v>
      </c>
      <c r="E576" s="11" t="str">
        <f>VLOOKUP(labors[[#This Row],[Column1.projectId]],projects[],2,FALSE)</f>
        <v>Pedestrian System</v>
      </c>
    </row>
    <row r="577" spans="1:5" x14ac:dyDescent="0.45">
      <c r="A577" t="s">
        <v>444</v>
      </c>
      <c r="B577">
        <v>5.75</v>
      </c>
      <c r="C577">
        <v>13</v>
      </c>
      <c r="D577">
        <v>576</v>
      </c>
      <c r="E577" s="11" t="str">
        <f>VLOOKUP(labors[[#This Row],[Column1.projectId]],projects[],2,FALSE)</f>
        <v>Parking Garage</v>
      </c>
    </row>
    <row r="578" spans="1:5" x14ac:dyDescent="0.45">
      <c r="A578" t="s">
        <v>444</v>
      </c>
      <c r="B578">
        <v>5.75</v>
      </c>
      <c r="C578">
        <v>19</v>
      </c>
      <c r="D578">
        <v>577</v>
      </c>
      <c r="E578" s="11" t="str">
        <f>VLOOKUP(labors[[#This Row],[Column1.projectId]],projects[],2,FALSE)</f>
        <v>Resistite</v>
      </c>
    </row>
    <row r="579" spans="1:5" x14ac:dyDescent="0.45">
      <c r="A579" t="s">
        <v>444</v>
      </c>
      <c r="B579">
        <v>6</v>
      </c>
      <c r="C579">
        <v>17</v>
      </c>
      <c r="D579">
        <v>578</v>
      </c>
      <c r="E579" s="11" t="str">
        <f>VLOOKUP(labors[[#This Row],[Column1.projectId]],projects[],2,FALSE)</f>
        <v>MACoat</v>
      </c>
    </row>
    <row r="580" spans="1:5" x14ac:dyDescent="0.45">
      <c r="A580" t="s">
        <v>444</v>
      </c>
      <c r="B580">
        <v>5.75</v>
      </c>
      <c r="C580">
        <v>16</v>
      </c>
      <c r="D580">
        <v>579</v>
      </c>
      <c r="E580" s="11" t="str">
        <f>VLOOKUP(labors[[#This Row],[Column1.projectId]],projects[],2,FALSE)</f>
        <v>ALX</v>
      </c>
    </row>
    <row r="581" spans="1:5" x14ac:dyDescent="0.45">
      <c r="A581" t="s">
        <v>444</v>
      </c>
      <c r="B581">
        <v>5.75</v>
      </c>
      <c r="C581">
        <v>20</v>
      </c>
      <c r="D581">
        <v>580</v>
      </c>
      <c r="E581" s="11" t="str">
        <f>VLOOKUP(labors[[#This Row],[Column1.projectId]],projects[],2,FALSE)</f>
        <v>Multicoat</v>
      </c>
    </row>
    <row r="582" spans="1:5" x14ac:dyDescent="0.45">
      <c r="A582" t="s">
        <v>444</v>
      </c>
      <c r="B582">
        <v>5.75</v>
      </c>
      <c r="C582">
        <v>7</v>
      </c>
      <c r="D582">
        <v>581</v>
      </c>
      <c r="E582" s="11" t="str">
        <f>VLOOKUP(labors[[#This Row],[Column1.projectId]],projects[],2,FALSE)</f>
        <v>Paraseal LG</v>
      </c>
    </row>
    <row r="583" spans="1:5" x14ac:dyDescent="0.45">
      <c r="A583" t="s">
        <v>444</v>
      </c>
      <c r="B583">
        <v>5.75</v>
      </c>
      <c r="C583">
        <v>11</v>
      </c>
      <c r="D583">
        <v>582</v>
      </c>
      <c r="E583" s="11" t="str">
        <f>VLOOKUP(labors[[#This Row],[Column1.projectId]],projects[],2,FALSE)</f>
        <v>Pli-Dek</v>
      </c>
    </row>
    <row r="584" spans="1:5" x14ac:dyDescent="0.45">
      <c r="A584" t="s">
        <v>444</v>
      </c>
      <c r="B584">
        <v>5.75</v>
      </c>
      <c r="C584">
        <v>14</v>
      </c>
      <c r="D584">
        <v>583</v>
      </c>
      <c r="E584" s="11" t="str">
        <f>VLOOKUP(labors[[#This Row],[Column1.projectId]],projects[],2,FALSE)</f>
        <v>Tufflex</v>
      </c>
    </row>
    <row r="585" spans="1:5" x14ac:dyDescent="0.45">
      <c r="A585" t="s">
        <v>444</v>
      </c>
      <c r="B585">
        <v>5.75</v>
      </c>
      <c r="C585">
        <v>6</v>
      </c>
      <c r="D585">
        <v>584</v>
      </c>
      <c r="E585" s="11" t="str">
        <f>VLOOKUP(labors[[#This Row],[Column1.projectId]],projects[],2,FALSE)</f>
        <v>Paraseal</v>
      </c>
    </row>
    <row r="586" spans="1:5" x14ac:dyDescent="0.45">
      <c r="A586" t="s">
        <v>444</v>
      </c>
      <c r="B586">
        <v>5.75</v>
      </c>
      <c r="C586">
        <v>9</v>
      </c>
      <c r="D586">
        <v>585</v>
      </c>
      <c r="E586" s="11" t="str">
        <f>VLOOKUP(labors[[#This Row],[Column1.projectId]],projects[],2,FALSE)</f>
        <v>201</v>
      </c>
    </row>
    <row r="587" spans="1:5" x14ac:dyDescent="0.45">
      <c r="A587" t="s">
        <v>444</v>
      </c>
      <c r="B587">
        <v>5.75</v>
      </c>
      <c r="C587">
        <v>10</v>
      </c>
      <c r="D587">
        <v>586</v>
      </c>
      <c r="E587" s="11" t="str">
        <f>VLOOKUP(labors[[#This Row],[Column1.projectId]],projects[],2,FALSE)</f>
        <v>250 GC</v>
      </c>
    </row>
    <row r="588" spans="1:5" x14ac:dyDescent="0.45">
      <c r="A588" t="s">
        <v>444</v>
      </c>
      <c r="B588">
        <v>5.75</v>
      </c>
      <c r="C588">
        <v>21</v>
      </c>
      <c r="D588">
        <v>587</v>
      </c>
      <c r="E588" s="11" t="str">
        <f>VLOOKUP(labors[[#This Row],[Column1.projectId]],projects[],2,FALSE)</f>
        <v>Dexcellent II</v>
      </c>
    </row>
    <row r="589" spans="1:5" x14ac:dyDescent="0.45">
      <c r="A589" t="s">
        <v>444</v>
      </c>
      <c r="B589">
        <v>5.75</v>
      </c>
      <c r="C589">
        <v>8</v>
      </c>
      <c r="D589">
        <v>588</v>
      </c>
      <c r="E589" s="11" t="str">
        <f>VLOOKUP(labors[[#This Row],[Column1.projectId]],projects[],2,FALSE)</f>
        <v>860 Carlisle</v>
      </c>
    </row>
    <row r="590" spans="1:5" x14ac:dyDescent="0.45">
      <c r="A590" t="s">
        <v>444</v>
      </c>
      <c r="B590">
        <v>6</v>
      </c>
      <c r="C590">
        <v>23</v>
      </c>
      <c r="D590">
        <v>589</v>
      </c>
      <c r="E590" s="11" t="str">
        <f>VLOOKUP(labors[[#This Row],[Column1.projectId]],projects[],2,FALSE)</f>
        <v>UPI BT</v>
      </c>
    </row>
    <row r="591" spans="1:5" x14ac:dyDescent="0.45">
      <c r="A591" t="s">
        <v>444</v>
      </c>
      <c r="B591">
        <v>6</v>
      </c>
      <c r="C591">
        <v>22</v>
      </c>
      <c r="D591">
        <v>590</v>
      </c>
      <c r="E591" s="11" t="str">
        <f>VLOOKUP(labors[[#This Row],[Column1.projectId]],projects[],2,FALSE)</f>
        <v>Westcoat BT</v>
      </c>
    </row>
    <row r="592" spans="1:5" x14ac:dyDescent="0.45">
      <c r="A592" t="s">
        <v>444</v>
      </c>
      <c r="B592">
        <v>6</v>
      </c>
      <c r="C592">
        <v>24</v>
      </c>
      <c r="D592">
        <v>591</v>
      </c>
      <c r="E592" s="11" t="str">
        <f>VLOOKUP(labors[[#This Row],[Column1.projectId]],projects[],2,FALSE)</f>
        <v>Dual Flex</v>
      </c>
    </row>
    <row r="593" spans="1:6" x14ac:dyDescent="0.45">
      <c r="A593" t="s">
        <v>444</v>
      </c>
      <c r="B593">
        <v>6</v>
      </c>
      <c r="C593">
        <v>25</v>
      </c>
      <c r="D593">
        <v>592</v>
      </c>
      <c r="E593" s="11" t="str">
        <f>VLOOKUP(labors[[#This Row],[Column1.projectId]],projects[],2,FALSE)</f>
        <v>Westcoat Epoxy</v>
      </c>
    </row>
    <row r="594" spans="1:6" x14ac:dyDescent="0.45">
      <c r="A594" t="s">
        <v>444</v>
      </c>
      <c r="B594">
        <v>6</v>
      </c>
      <c r="C594">
        <v>27</v>
      </c>
      <c r="D594">
        <v>593</v>
      </c>
      <c r="E594" s="11" t="str">
        <f>VLOOKUP(labors[[#This Row],[Column1.projectId]],projects[],2,FALSE)</f>
        <v>Xypex</v>
      </c>
    </row>
    <row r="595" spans="1:6" x14ac:dyDescent="0.45">
      <c r="A595" t="s">
        <v>444</v>
      </c>
      <c r="B595">
        <v>6</v>
      </c>
      <c r="C595">
        <v>26</v>
      </c>
      <c r="D595">
        <v>594</v>
      </c>
      <c r="E595" s="11" t="str">
        <f>VLOOKUP(labors[[#This Row],[Column1.projectId]],projects[],2,FALSE)</f>
        <v>Polyurethane Injection Block</v>
      </c>
      <c r="F595" t="s">
        <v>514</v>
      </c>
    </row>
    <row r="596" spans="1:6" x14ac:dyDescent="0.45">
      <c r="A596" t="s">
        <v>423</v>
      </c>
      <c r="B596">
        <v>1.0015000000000001</v>
      </c>
      <c r="C596">
        <v>30</v>
      </c>
      <c r="D596">
        <v>618</v>
      </c>
      <c r="E596" s="11" t="str">
        <f>VLOOKUP(labors[[#This Row],[Column1.projectId]],projects[],2,FALSE)</f>
        <v>Paraseal GM</v>
      </c>
      <c r="F596" t="s">
        <v>514</v>
      </c>
    </row>
    <row r="597" spans="1:6" x14ac:dyDescent="0.45">
      <c r="A597" t="s">
        <v>424</v>
      </c>
      <c r="B597">
        <v>-0.125</v>
      </c>
      <c r="C597">
        <v>30</v>
      </c>
      <c r="D597">
        <v>619</v>
      </c>
      <c r="E597" s="11" t="str">
        <f>VLOOKUP(labors[[#This Row],[Column1.projectId]],projects[],2,FALSE)</f>
        <v>Paraseal GM</v>
      </c>
      <c r="F597" t="s">
        <v>514</v>
      </c>
    </row>
    <row r="598" spans="1:6" x14ac:dyDescent="0.45">
      <c r="A598" t="s">
        <v>425</v>
      </c>
      <c r="B598">
        <v>5.3499999999999999E-2</v>
      </c>
      <c r="C598">
        <v>30</v>
      </c>
      <c r="D598">
        <v>620</v>
      </c>
      <c r="E598" s="11" t="str">
        <f>VLOOKUP(labors[[#This Row],[Column1.projectId]],projects[],2,FALSE)</f>
        <v>Paraseal GM</v>
      </c>
      <c r="F598" t="s">
        <v>514</v>
      </c>
    </row>
    <row r="599" spans="1:6" x14ac:dyDescent="0.45">
      <c r="A599" t="s">
        <v>426</v>
      </c>
      <c r="B599">
        <v>0.1142</v>
      </c>
      <c r="C599">
        <v>30</v>
      </c>
      <c r="D599">
        <v>621</v>
      </c>
      <c r="E599" s="11" t="str">
        <f>VLOOKUP(labors[[#This Row],[Column1.projectId]],projects[],2,FALSE)</f>
        <v>Paraseal GM</v>
      </c>
      <c r="F599" t="s">
        <v>514</v>
      </c>
    </row>
    <row r="600" spans="1:6" x14ac:dyDescent="0.45">
      <c r="A600" t="s">
        <v>427</v>
      </c>
      <c r="B600">
        <v>0.1</v>
      </c>
      <c r="C600">
        <v>30</v>
      </c>
      <c r="D600">
        <v>622</v>
      </c>
      <c r="E600" s="11" t="str">
        <f>VLOOKUP(labors[[#This Row],[Column1.projectId]],projects[],2,FALSE)</f>
        <v>Paraseal GM</v>
      </c>
      <c r="F600" t="s">
        <v>514</v>
      </c>
    </row>
    <row r="601" spans="1:6" x14ac:dyDescent="0.45">
      <c r="A601" t="s">
        <v>428</v>
      </c>
      <c r="B601">
        <v>0.1515</v>
      </c>
      <c r="C601">
        <v>30</v>
      </c>
      <c r="D601">
        <v>623</v>
      </c>
      <c r="E601" s="11" t="str">
        <f>VLOOKUP(labors[[#This Row],[Column1.projectId]],projects[],2,FALSE)</f>
        <v>Paraseal GM</v>
      </c>
      <c r="F601" t="s">
        <v>514</v>
      </c>
    </row>
    <row r="602" spans="1:6" x14ac:dyDescent="0.45">
      <c r="A602" t="s">
        <v>429</v>
      </c>
      <c r="B602">
        <v>0.08</v>
      </c>
      <c r="C602">
        <v>30</v>
      </c>
      <c r="D602">
        <v>624</v>
      </c>
      <c r="E602" s="11" t="str">
        <f>VLOOKUP(labors[[#This Row],[Column1.projectId]],projects[],2,FALSE)</f>
        <v>Paraseal GM</v>
      </c>
      <c r="F602" t="s">
        <v>514</v>
      </c>
    </row>
    <row r="603" spans="1:6" x14ac:dyDescent="0.45">
      <c r="A603" t="s">
        <v>430</v>
      </c>
      <c r="B603">
        <v>0.35</v>
      </c>
      <c r="C603">
        <v>30</v>
      </c>
      <c r="D603">
        <v>625</v>
      </c>
      <c r="E603" s="11" t="str">
        <f>VLOOKUP(labors[[#This Row],[Column1.projectId]],projects[],2,FALSE)</f>
        <v>Paraseal GM</v>
      </c>
      <c r="F603" t="s">
        <v>514</v>
      </c>
    </row>
    <row r="604" spans="1:6" x14ac:dyDescent="0.45">
      <c r="A604" t="s">
        <v>431</v>
      </c>
      <c r="B604">
        <v>0</v>
      </c>
      <c r="C604">
        <v>30</v>
      </c>
      <c r="D604">
        <v>626</v>
      </c>
      <c r="E604" s="11" t="str">
        <f>VLOOKUP(labors[[#This Row],[Column1.projectId]],projects[],2,FALSE)</f>
        <v>Paraseal GM</v>
      </c>
      <c r="F604" t="s">
        <v>514</v>
      </c>
    </row>
    <row r="605" spans="1:6" x14ac:dyDescent="0.45">
      <c r="A605" t="s">
        <v>432</v>
      </c>
      <c r="B605">
        <v>-0.6</v>
      </c>
      <c r="C605">
        <v>30</v>
      </c>
      <c r="D605">
        <v>627</v>
      </c>
      <c r="E605" s="11" t="str">
        <f>VLOOKUP(labors[[#This Row],[Column1.projectId]],projects[],2,FALSE)</f>
        <v>Paraseal GM</v>
      </c>
      <c r="F605" t="s">
        <v>514</v>
      </c>
    </row>
    <row r="606" spans="1:6" x14ac:dyDescent="0.45">
      <c r="A606" t="s">
        <v>433</v>
      </c>
      <c r="B606">
        <v>0.65</v>
      </c>
      <c r="C606">
        <v>30</v>
      </c>
      <c r="D606">
        <v>628</v>
      </c>
      <c r="E606" s="11" t="str">
        <f>VLOOKUP(labors[[#This Row],[Column1.projectId]],projects[],2,FALSE)</f>
        <v>Paraseal GM</v>
      </c>
      <c r="F606" t="s">
        <v>514</v>
      </c>
    </row>
    <row r="607" spans="1:6" x14ac:dyDescent="0.45">
      <c r="A607" t="s">
        <v>434</v>
      </c>
      <c r="B607">
        <v>0.02</v>
      </c>
      <c r="C607">
        <v>30</v>
      </c>
      <c r="D607">
        <v>629</v>
      </c>
      <c r="E607" s="11" t="str">
        <f>VLOOKUP(labors[[#This Row],[Column1.projectId]],projects[],2,FALSE)</f>
        <v>Paraseal GM</v>
      </c>
      <c r="F607" t="s">
        <v>514</v>
      </c>
    </row>
    <row r="608" spans="1:6" x14ac:dyDescent="0.45">
      <c r="A608" t="s">
        <v>435</v>
      </c>
      <c r="B608">
        <v>0.03</v>
      </c>
      <c r="C608">
        <v>30</v>
      </c>
      <c r="D608">
        <v>630</v>
      </c>
      <c r="E608" s="11" t="str">
        <f>VLOOKUP(labors[[#This Row],[Column1.projectId]],projects[],2,FALSE)</f>
        <v>Paraseal GM</v>
      </c>
      <c r="F608" t="s">
        <v>514</v>
      </c>
    </row>
    <row r="609" spans="1:6" x14ac:dyDescent="0.45">
      <c r="A609" t="s">
        <v>436</v>
      </c>
      <c r="B609">
        <v>0.05</v>
      </c>
      <c r="C609">
        <v>30</v>
      </c>
      <c r="D609">
        <v>631</v>
      </c>
      <c r="E609" s="11" t="str">
        <f>VLOOKUP(labors[[#This Row],[Column1.projectId]],projects[],2,FALSE)</f>
        <v>Paraseal GM</v>
      </c>
      <c r="F609" t="s">
        <v>514</v>
      </c>
    </row>
    <row r="610" spans="1:6" x14ac:dyDescent="0.45">
      <c r="A610" t="s">
        <v>437</v>
      </c>
      <c r="B610">
        <v>0</v>
      </c>
      <c r="C610">
        <v>30</v>
      </c>
      <c r="D610">
        <v>632</v>
      </c>
      <c r="E610" s="11" t="str">
        <f>VLOOKUP(labors[[#This Row],[Column1.projectId]],projects[],2,FALSE)</f>
        <v>Paraseal GM</v>
      </c>
      <c r="F610" t="s">
        <v>514</v>
      </c>
    </row>
    <row r="611" spans="1:6" x14ac:dyDescent="0.45">
      <c r="A611" t="s">
        <v>438</v>
      </c>
      <c r="B611">
        <v>0</v>
      </c>
      <c r="C611">
        <v>30</v>
      </c>
      <c r="D611">
        <v>633</v>
      </c>
      <c r="E611" s="11" t="str">
        <f>VLOOKUP(labors[[#This Row],[Column1.projectId]],projects[],2,FALSE)</f>
        <v>Paraseal GM</v>
      </c>
      <c r="F611" t="s">
        <v>514</v>
      </c>
    </row>
    <row r="612" spans="1:6" x14ac:dyDescent="0.45">
      <c r="A612" t="s">
        <v>439</v>
      </c>
      <c r="B612">
        <v>0</v>
      </c>
      <c r="C612">
        <v>30</v>
      </c>
      <c r="D612">
        <v>634</v>
      </c>
      <c r="E612" s="11" t="str">
        <f>VLOOKUP(labors[[#This Row],[Column1.projectId]],projects[],2,FALSE)</f>
        <v>Paraseal GM</v>
      </c>
      <c r="F612" t="s">
        <v>514</v>
      </c>
    </row>
    <row r="613" spans="1:6" x14ac:dyDescent="0.45">
      <c r="A613" t="s">
        <v>440</v>
      </c>
      <c r="B613">
        <v>0.35</v>
      </c>
      <c r="C613">
        <v>30</v>
      </c>
      <c r="D613">
        <v>635</v>
      </c>
      <c r="E613" s="11" t="str">
        <f>VLOOKUP(labors[[#This Row],[Column1.projectId]],projects[],2,FALSE)</f>
        <v>Paraseal GM</v>
      </c>
      <c r="F613" t="s">
        <v>514</v>
      </c>
    </row>
    <row r="614" spans="1:6" x14ac:dyDescent="0.45">
      <c r="A614" t="s">
        <v>441</v>
      </c>
      <c r="B614">
        <v>0.35</v>
      </c>
      <c r="C614">
        <v>30</v>
      </c>
      <c r="D614">
        <v>636</v>
      </c>
      <c r="E614" s="11" t="str">
        <f>VLOOKUP(labors[[#This Row],[Column1.projectId]],projects[],2,FALSE)</f>
        <v>Paraseal GM</v>
      </c>
      <c r="F614" t="s">
        <v>514</v>
      </c>
    </row>
    <row r="615" spans="1:6" x14ac:dyDescent="0.45">
      <c r="A615" t="s">
        <v>442</v>
      </c>
      <c r="B615">
        <v>0.35</v>
      </c>
      <c r="C615">
        <v>30</v>
      </c>
      <c r="D615">
        <v>637</v>
      </c>
      <c r="E615" s="11" t="str">
        <f>VLOOKUP(labors[[#This Row],[Column1.projectId]],projects[],2,FALSE)</f>
        <v>Paraseal GM</v>
      </c>
      <c r="F615" t="s">
        <v>514</v>
      </c>
    </row>
    <row r="616" spans="1:6" x14ac:dyDescent="0.45">
      <c r="A616" t="s">
        <v>443</v>
      </c>
      <c r="B616">
        <v>0.35</v>
      </c>
      <c r="C616">
        <v>30</v>
      </c>
      <c r="D616">
        <v>638</v>
      </c>
      <c r="E616" s="11" t="str">
        <f>VLOOKUP(labors[[#This Row],[Column1.projectId]],projects[],2,FALSE)</f>
        <v>Paraseal GM</v>
      </c>
      <c r="F616" t="s">
        <v>514</v>
      </c>
    </row>
    <row r="617" spans="1:6" x14ac:dyDescent="0.45">
      <c r="A617" t="s">
        <v>444</v>
      </c>
      <c r="B617">
        <v>5.75</v>
      </c>
      <c r="C617">
        <v>30</v>
      </c>
      <c r="D617">
        <v>639</v>
      </c>
      <c r="E617" s="11" t="str">
        <f>VLOOKUP(labors[[#This Row],[Column1.projectId]],projects[],2,FALSE)</f>
        <v>Paraseal GM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384C7-92E0-417A-B56B-E76ED03F6CAA}">
  <sheetPr codeName="Sheet5"/>
  <dimension ref="A1:E30"/>
  <sheetViews>
    <sheetView workbookViewId="0">
      <selection activeCell="D14" sqref="D14"/>
    </sheetView>
  </sheetViews>
  <sheetFormatPr defaultRowHeight="14.25" x14ac:dyDescent="0.45"/>
  <cols>
    <col min="1" max="1" width="18.1328125" bestFit="1" customWidth="1"/>
    <col min="2" max="2" width="23.33203125" bestFit="1" customWidth="1"/>
    <col min="3" max="3" width="20.46484375" bestFit="1" customWidth="1"/>
    <col min="4" max="4" width="24.86328125" bestFit="1" customWidth="1"/>
    <col min="5" max="5" width="14.33203125" bestFit="1" customWidth="1"/>
    <col min="6" max="7" width="18.46484375" bestFit="1" customWidth="1"/>
  </cols>
  <sheetData>
    <row r="1" spans="1:5" x14ac:dyDescent="0.45">
      <c r="A1" t="s">
        <v>5</v>
      </c>
      <c r="B1" t="s">
        <v>420</v>
      </c>
      <c r="C1" t="s">
        <v>445</v>
      </c>
      <c r="D1" t="s">
        <v>446</v>
      </c>
      <c r="E1" t="s">
        <v>447</v>
      </c>
    </row>
    <row r="2" spans="1:5" x14ac:dyDescent="0.45">
      <c r="A2">
        <v>1</v>
      </c>
      <c r="B2" t="s">
        <v>448</v>
      </c>
      <c r="C2" t="s">
        <v>449</v>
      </c>
      <c r="D2" t="s">
        <v>450</v>
      </c>
      <c r="E2">
        <v>1</v>
      </c>
    </row>
    <row r="3" spans="1:5" x14ac:dyDescent="0.45">
      <c r="A3">
        <v>2</v>
      </c>
      <c r="B3" t="s">
        <v>451</v>
      </c>
      <c r="C3" t="s">
        <v>449</v>
      </c>
      <c r="D3" t="s">
        <v>450</v>
      </c>
      <c r="E3">
        <v>2</v>
      </c>
    </row>
    <row r="4" spans="1:5" x14ac:dyDescent="0.45">
      <c r="A4">
        <v>3</v>
      </c>
      <c r="B4" t="s">
        <v>452</v>
      </c>
      <c r="C4" t="s">
        <v>449</v>
      </c>
      <c r="D4" t="s">
        <v>450</v>
      </c>
      <c r="E4">
        <v>3</v>
      </c>
    </row>
    <row r="5" spans="1:5" x14ac:dyDescent="0.45">
      <c r="A5">
        <v>4</v>
      </c>
      <c r="B5" t="s">
        <v>453</v>
      </c>
      <c r="C5" t="s">
        <v>453</v>
      </c>
      <c r="D5" t="s">
        <v>450</v>
      </c>
      <c r="E5">
        <v>4</v>
      </c>
    </row>
    <row r="6" spans="1:5" x14ac:dyDescent="0.45">
      <c r="A6">
        <v>5</v>
      </c>
      <c r="B6" t="s">
        <v>454</v>
      </c>
      <c r="C6" t="s">
        <v>455</v>
      </c>
      <c r="D6" t="s">
        <v>450</v>
      </c>
      <c r="E6">
        <v>5</v>
      </c>
    </row>
    <row r="7" spans="1:5" x14ac:dyDescent="0.45">
      <c r="A7">
        <v>6</v>
      </c>
      <c r="B7" t="s">
        <v>456</v>
      </c>
      <c r="C7" t="s">
        <v>457</v>
      </c>
      <c r="D7" t="s">
        <v>458</v>
      </c>
      <c r="E7">
        <v>6</v>
      </c>
    </row>
    <row r="8" spans="1:5" x14ac:dyDescent="0.45">
      <c r="A8">
        <v>7</v>
      </c>
      <c r="B8" t="s">
        <v>459</v>
      </c>
      <c r="C8" t="s">
        <v>457</v>
      </c>
      <c r="D8" t="s">
        <v>458</v>
      </c>
      <c r="E8">
        <v>7</v>
      </c>
    </row>
    <row r="9" spans="1:5" x14ac:dyDescent="0.45">
      <c r="A9">
        <v>8</v>
      </c>
      <c r="B9" t="s">
        <v>460</v>
      </c>
      <c r="C9" t="s">
        <v>461</v>
      </c>
      <c r="D9" t="s">
        <v>458</v>
      </c>
      <c r="E9">
        <v>8</v>
      </c>
    </row>
    <row r="10" spans="1:5" x14ac:dyDescent="0.45">
      <c r="A10">
        <v>9</v>
      </c>
      <c r="B10" t="s">
        <v>462</v>
      </c>
      <c r="C10" t="s">
        <v>457</v>
      </c>
      <c r="D10" t="s">
        <v>458</v>
      </c>
      <c r="E10">
        <v>9</v>
      </c>
    </row>
    <row r="11" spans="1:5" x14ac:dyDescent="0.45">
      <c r="A11">
        <v>10</v>
      </c>
      <c r="B11" t="s">
        <v>463</v>
      </c>
      <c r="C11" t="s">
        <v>457</v>
      </c>
      <c r="D11" t="s">
        <v>458</v>
      </c>
      <c r="E11">
        <v>10</v>
      </c>
    </row>
    <row r="12" spans="1:5" x14ac:dyDescent="0.45">
      <c r="A12">
        <v>11</v>
      </c>
      <c r="B12" t="s">
        <v>464</v>
      </c>
      <c r="C12" t="s">
        <v>465</v>
      </c>
      <c r="D12" t="s">
        <v>450</v>
      </c>
      <c r="E12">
        <v>11</v>
      </c>
    </row>
    <row r="13" spans="1:5" x14ac:dyDescent="0.45">
      <c r="A13">
        <v>12</v>
      </c>
      <c r="B13" t="s">
        <v>466</v>
      </c>
      <c r="C13" t="s">
        <v>467</v>
      </c>
      <c r="D13" t="s">
        <v>450</v>
      </c>
      <c r="E13">
        <v>12</v>
      </c>
    </row>
    <row r="14" spans="1:5" x14ac:dyDescent="0.45">
      <c r="A14">
        <v>13</v>
      </c>
      <c r="B14" t="s">
        <v>468</v>
      </c>
      <c r="C14" t="s">
        <v>467</v>
      </c>
      <c r="D14" t="s">
        <v>450</v>
      </c>
      <c r="E14">
        <v>13</v>
      </c>
    </row>
    <row r="15" spans="1:5" x14ac:dyDescent="0.45">
      <c r="A15">
        <v>14</v>
      </c>
      <c r="B15" t="s">
        <v>469</v>
      </c>
      <c r="C15" t="s">
        <v>467</v>
      </c>
      <c r="D15" t="s">
        <v>450</v>
      </c>
      <c r="E15">
        <v>14</v>
      </c>
    </row>
    <row r="16" spans="1:5" x14ac:dyDescent="0.45">
      <c r="A16">
        <v>15</v>
      </c>
      <c r="B16" t="s">
        <v>470</v>
      </c>
      <c r="C16" t="s">
        <v>471</v>
      </c>
      <c r="D16" t="s">
        <v>450</v>
      </c>
      <c r="E16">
        <v>15</v>
      </c>
    </row>
    <row r="17" spans="1:5" x14ac:dyDescent="0.45">
      <c r="A17">
        <v>16</v>
      </c>
      <c r="B17" t="s">
        <v>472</v>
      </c>
      <c r="C17" t="s">
        <v>471</v>
      </c>
      <c r="D17" t="s">
        <v>450</v>
      </c>
      <c r="E17">
        <v>16</v>
      </c>
    </row>
    <row r="18" spans="1:5" x14ac:dyDescent="0.45">
      <c r="A18">
        <v>17</v>
      </c>
      <c r="B18" t="s">
        <v>473</v>
      </c>
      <c r="C18" t="s">
        <v>471</v>
      </c>
      <c r="D18" t="s">
        <v>450</v>
      </c>
      <c r="E18">
        <v>17</v>
      </c>
    </row>
    <row r="19" spans="1:5" x14ac:dyDescent="0.45">
      <c r="A19">
        <v>18</v>
      </c>
      <c r="B19" t="s">
        <v>474</v>
      </c>
      <c r="C19" t="s">
        <v>475</v>
      </c>
      <c r="D19" t="s">
        <v>450</v>
      </c>
      <c r="E19">
        <v>18</v>
      </c>
    </row>
    <row r="20" spans="1:5" x14ac:dyDescent="0.45">
      <c r="A20">
        <v>19</v>
      </c>
      <c r="B20" t="s">
        <v>476</v>
      </c>
      <c r="C20" t="s">
        <v>449</v>
      </c>
      <c r="D20" t="s">
        <v>477</v>
      </c>
      <c r="E20">
        <v>19</v>
      </c>
    </row>
    <row r="21" spans="1:5" x14ac:dyDescent="0.45">
      <c r="A21">
        <v>20</v>
      </c>
      <c r="B21" t="s">
        <v>478</v>
      </c>
      <c r="C21" t="s">
        <v>478</v>
      </c>
      <c r="D21" t="s">
        <v>477</v>
      </c>
      <c r="E21">
        <v>20</v>
      </c>
    </row>
    <row r="22" spans="1:5" x14ac:dyDescent="0.45">
      <c r="A22">
        <v>21</v>
      </c>
      <c r="B22" t="s">
        <v>479</v>
      </c>
      <c r="C22" t="s">
        <v>480</v>
      </c>
      <c r="D22" t="s">
        <v>450</v>
      </c>
      <c r="E22">
        <v>21</v>
      </c>
    </row>
    <row r="23" spans="1:5" x14ac:dyDescent="0.45">
      <c r="A23">
        <v>22</v>
      </c>
      <c r="B23" t="s">
        <v>481</v>
      </c>
      <c r="C23" t="s">
        <v>471</v>
      </c>
      <c r="D23" t="s">
        <v>482</v>
      </c>
      <c r="E23">
        <v>22</v>
      </c>
    </row>
    <row r="24" spans="1:5" x14ac:dyDescent="0.45">
      <c r="A24">
        <v>23</v>
      </c>
      <c r="B24" t="s">
        <v>483</v>
      </c>
      <c r="C24" t="s">
        <v>467</v>
      </c>
      <c r="D24" t="s">
        <v>482</v>
      </c>
      <c r="E24">
        <v>23</v>
      </c>
    </row>
    <row r="25" spans="1:5" x14ac:dyDescent="0.45">
      <c r="A25">
        <v>24</v>
      </c>
      <c r="B25" t="s">
        <v>484</v>
      </c>
      <c r="C25" t="s">
        <v>449</v>
      </c>
      <c r="D25" t="s">
        <v>482</v>
      </c>
      <c r="E25">
        <v>24</v>
      </c>
    </row>
    <row r="26" spans="1:5" x14ac:dyDescent="0.45">
      <c r="A26">
        <v>25</v>
      </c>
      <c r="B26" t="s">
        <v>485</v>
      </c>
      <c r="C26" t="s">
        <v>471</v>
      </c>
      <c r="D26" t="s">
        <v>486</v>
      </c>
      <c r="E26">
        <v>25</v>
      </c>
    </row>
    <row r="27" spans="1:5" x14ac:dyDescent="0.45">
      <c r="A27">
        <v>26</v>
      </c>
      <c r="B27" t="s">
        <v>487</v>
      </c>
      <c r="C27" t="s">
        <v>488</v>
      </c>
      <c r="D27" t="s">
        <v>458</v>
      </c>
      <c r="E27">
        <v>26</v>
      </c>
    </row>
    <row r="28" spans="1:5" x14ac:dyDescent="0.45">
      <c r="A28">
        <v>27</v>
      </c>
      <c r="B28" t="s">
        <v>489</v>
      </c>
      <c r="C28" t="s">
        <v>490</v>
      </c>
      <c r="D28" t="s">
        <v>458</v>
      </c>
      <c r="E28">
        <v>27</v>
      </c>
    </row>
    <row r="29" spans="1:5" x14ac:dyDescent="0.45">
      <c r="A29">
        <v>28</v>
      </c>
      <c r="B29" t="s">
        <v>491</v>
      </c>
      <c r="C29" t="s">
        <v>492</v>
      </c>
      <c r="D29" t="s">
        <v>493</v>
      </c>
      <c r="E29">
        <v>28</v>
      </c>
    </row>
    <row r="30" spans="1:5" x14ac:dyDescent="0.45">
      <c r="A30">
        <v>30</v>
      </c>
      <c r="B30" t="s">
        <v>513</v>
      </c>
      <c r="C30" t="s">
        <v>457</v>
      </c>
      <c r="D30" t="s">
        <v>458</v>
      </c>
      <c r="E30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AD8B-BEBC-4329-927E-106E8ED75E4C}">
  <sheetPr codeName="Sheet6"/>
  <dimension ref="A1:D9"/>
  <sheetViews>
    <sheetView tabSelected="1" workbookViewId="0">
      <selection activeCell="C14" sqref="C14"/>
    </sheetView>
  </sheetViews>
  <sheetFormatPr defaultRowHeight="14.25" x14ac:dyDescent="0.45"/>
  <cols>
    <col min="1" max="1" width="20.3984375" bestFit="1" customWidth="1"/>
    <col min="2" max="2" width="20.19921875" bestFit="1" customWidth="1"/>
    <col min="3" max="3" width="17.9296875" bestFit="1" customWidth="1"/>
    <col min="4" max="4" width="10" bestFit="1" customWidth="1"/>
  </cols>
  <sheetData>
    <row r="1" spans="1:4" x14ac:dyDescent="0.45">
      <c r="A1" t="s">
        <v>494</v>
      </c>
      <c r="B1" t="s">
        <v>495</v>
      </c>
      <c r="C1" t="s">
        <v>496</v>
      </c>
      <c r="D1" t="s">
        <v>506</v>
      </c>
    </row>
    <row r="2" spans="1:4" x14ac:dyDescent="0.45">
      <c r="A2" t="s">
        <v>497</v>
      </c>
      <c r="B2">
        <v>0.03</v>
      </c>
      <c r="C2">
        <v>1</v>
      </c>
    </row>
    <row r="3" spans="1:4" x14ac:dyDescent="0.45">
      <c r="A3" t="s">
        <v>498</v>
      </c>
      <c r="B3">
        <v>0.04</v>
      </c>
      <c r="C3">
        <v>2</v>
      </c>
    </row>
    <row r="4" spans="1:4" x14ac:dyDescent="0.45">
      <c r="A4" t="s">
        <v>499</v>
      </c>
      <c r="B4">
        <v>0.09</v>
      </c>
      <c r="C4">
        <v>3</v>
      </c>
    </row>
    <row r="5" spans="1:4" x14ac:dyDescent="0.45">
      <c r="A5" t="s">
        <v>500</v>
      </c>
      <c r="B5">
        <v>0.12</v>
      </c>
      <c r="C5">
        <v>4</v>
      </c>
    </row>
    <row r="6" spans="1:4" x14ac:dyDescent="0.45">
      <c r="A6" t="s">
        <v>501</v>
      </c>
      <c r="B6">
        <v>75</v>
      </c>
      <c r="C6">
        <v>5</v>
      </c>
    </row>
    <row r="7" spans="1:4" x14ac:dyDescent="0.45">
      <c r="A7" t="s">
        <v>502</v>
      </c>
      <c r="B7">
        <v>-0.3</v>
      </c>
      <c r="C7">
        <v>6</v>
      </c>
    </row>
    <row r="8" spans="1:4" x14ac:dyDescent="0.45">
      <c r="A8" t="s">
        <v>503</v>
      </c>
      <c r="B8">
        <v>15</v>
      </c>
      <c r="C8">
        <v>7</v>
      </c>
    </row>
    <row r="9" spans="1:4" x14ac:dyDescent="0.45">
      <c r="A9" t="s">
        <v>504</v>
      </c>
      <c r="B9">
        <v>23.75</v>
      </c>
      <c r="C9">
        <v>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692143-E221-4EA9-ABA8-310A32329E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slopes</vt:lpstr>
      <vt:lpstr>metals</vt:lpstr>
      <vt:lpstr>materials</vt:lpstr>
      <vt:lpstr>labors</vt:lpstr>
      <vt:lpstr>projects</vt:lpstr>
      <vt:lpstr>freights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priyanka verma</dc:creator>
  <cp:lastModifiedBy>priyanka verma</cp:lastModifiedBy>
  <dcterms:created xsi:type="dcterms:W3CDTF">2021-03-13T11:25:11Z</dcterms:created>
  <dcterms:modified xsi:type="dcterms:W3CDTF">2021-06-25T06:11:38Z</dcterms:modified>
</cp:coreProperties>
</file>